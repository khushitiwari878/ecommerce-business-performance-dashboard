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khushi Tiwari\Downloads\"/>
    </mc:Choice>
  </mc:AlternateContent>
  <xr:revisionPtr revIDLastSave="0" documentId="8_{A2A50484-E38A-448F-AD5C-AB84035FC3E0}" xr6:coauthVersionLast="47" xr6:coauthVersionMax="47" xr10:uidLastSave="{00000000-0000-0000-0000-000000000000}"/>
  <bookViews>
    <workbookView xWindow="-108" yWindow="-108" windowWidth="23256" windowHeight="12456" activeTab="2" xr2:uid="{00000000-000D-0000-FFFF-FFFF00000000}"/>
  </bookViews>
  <sheets>
    <sheet name="Raw Data" sheetId="1" r:id="rId1"/>
    <sheet name="pivot " sheetId="4" r:id="rId2"/>
    <sheet name="Dashboard" sheetId="5" r:id="rId3"/>
    <sheet name="Cleaned data" sheetId="2" r:id="rId4"/>
    <sheet name="Analysis sheet" sheetId="3" r:id="rId5"/>
  </sheets>
  <definedNames>
    <definedName name="_xlnm._FilterDatabase" localSheetId="3" hidden="1">'Cleaned data'!$A$1:$W$501</definedName>
    <definedName name="Slicer_Category">#N/A</definedName>
    <definedName name="Slicer_City_cleaning">#N/A</definedName>
    <definedName name="Slicer_Clean_Payment_Method">#N/A</definedName>
    <definedName name="Slicer_Order_Status">#N/A</definedName>
    <definedName name="Slicer_Product">#N/A</definedName>
  </definedNames>
  <calcPr calcId="191029"/>
  <pivotCaches>
    <pivotCache cacheId="29"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3" l="1"/>
  <c r="I27" i="3"/>
  <c r="I26" i="3"/>
  <c r="I25" i="3"/>
  <c r="I24" i="3"/>
  <c r="K23" i="3"/>
  <c r="K22" i="3"/>
  <c r="K21" i="3"/>
  <c r="K20" i="3"/>
  <c r="K19" i="3"/>
  <c r="C2" i="2" a="1"/>
  <c r="C2" i="2" s="1"/>
  <c r="K2" i="2" a="1"/>
  <c r="K2" i="2" s="1"/>
  <c r="AE11" i="3"/>
  <c r="AE12" i="3"/>
  <c r="AE13" i="3"/>
  <c r="AE14" i="3"/>
  <c r="AE15" i="3"/>
  <c r="AE10" i="3"/>
  <c r="V20" i="3"/>
  <c r="Z13" i="3"/>
  <c r="Z12" i="3"/>
  <c r="Z11" i="3"/>
  <c r="G17" i="3"/>
  <c r="H2" i="2" a="1"/>
  <c r="H2" i="2" s="1"/>
  <c r="F2" i="2"/>
  <c r="P8" i="3"/>
  <c r="F10" i="3"/>
  <c r="C10" i="3"/>
  <c r="C9" i="3"/>
  <c r="C8" i="3"/>
  <c r="C6" i="3"/>
  <c r="C7" i="3"/>
  <c r="N2" i="3"/>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2" i="2"/>
  <c r="I2" i="3"/>
  <c r="G2" i="3"/>
  <c r="E2" i="3"/>
  <c r="C2" i="3"/>
  <c r="A2" i="3"/>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2" i="2"/>
  <c r="F493" i="2"/>
  <c r="F492" i="2"/>
  <c r="F491" i="2"/>
  <c r="F490" i="2"/>
  <c r="F481" i="2"/>
  <c r="F480" i="2"/>
  <c r="F479" i="2"/>
  <c r="F478" i="2"/>
  <c r="F469" i="2"/>
  <c r="F468" i="2"/>
  <c r="F467" i="2"/>
  <c r="F466" i="2"/>
  <c r="F457" i="2"/>
  <c r="F456" i="2"/>
  <c r="F455" i="2"/>
  <c r="F454" i="2"/>
  <c r="F445" i="2"/>
  <c r="F444" i="2"/>
  <c r="F443" i="2"/>
  <c r="F442" i="2"/>
  <c r="F433" i="2"/>
  <c r="F432" i="2"/>
  <c r="F431" i="2"/>
  <c r="F430" i="2"/>
  <c r="F421" i="2"/>
  <c r="F420" i="2"/>
  <c r="F419" i="2"/>
  <c r="F418" i="2"/>
  <c r="F409" i="2"/>
  <c r="F408" i="2"/>
  <c r="F407" i="2"/>
  <c r="F406" i="2"/>
  <c r="F405" i="2"/>
  <c r="F397" i="2"/>
  <c r="F396" i="2"/>
  <c r="F395" i="2"/>
  <c r="F394" i="2"/>
  <c r="F393" i="2"/>
  <c r="F385" i="2"/>
  <c r="F384" i="2"/>
  <c r="F383" i="2"/>
  <c r="F382" i="2"/>
  <c r="F381" i="2"/>
  <c r="F373" i="2"/>
  <c r="F372" i="2"/>
  <c r="F371" i="2"/>
  <c r="F370" i="2"/>
  <c r="F369" i="2"/>
  <c r="F361" i="2"/>
  <c r="F360" i="2"/>
  <c r="F359" i="2"/>
  <c r="F358" i="2"/>
  <c r="F357" i="2"/>
  <c r="F349" i="2"/>
  <c r="F348" i="2"/>
  <c r="F347" i="2"/>
  <c r="F346" i="2"/>
  <c r="F345" i="2"/>
  <c r="F337" i="2"/>
  <c r="F336" i="2"/>
  <c r="F335" i="2"/>
  <c r="F334" i="2"/>
  <c r="F333" i="2"/>
  <c r="F325" i="2"/>
  <c r="F324" i="2"/>
  <c r="F323" i="2"/>
  <c r="F322" i="2"/>
  <c r="F321" i="2"/>
  <c r="F313" i="2"/>
  <c r="F312" i="2"/>
  <c r="F311" i="2"/>
  <c r="F310" i="2"/>
  <c r="F309" i="2"/>
  <c r="F301" i="2"/>
  <c r="F300" i="2"/>
  <c r="F299" i="2"/>
  <c r="F298" i="2"/>
  <c r="F297" i="2"/>
  <c r="F289" i="2"/>
  <c r="F288" i="2"/>
  <c r="F287" i="2"/>
  <c r="F286" i="2"/>
  <c r="F285" i="2"/>
  <c r="F277" i="2"/>
  <c r="F276" i="2"/>
  <c r="F275" i="2"/>
  <c r="F274" i="2"/>
  <c r="F273" i="2"/>
  <c r="F265" i="2"/>
  <c r="F264" i="2"/>
  <c r="F263" i="2"/>
  <c r="F262" i="2"/>
  <c r="F261" i="2"/>
  <c r="F253" i="2"/>
  <c r="F252" i="2"/>
  <c r="F251" i="2"/>
  <c r="F250" i="2"/>
  <c r="F249" i="2"/>
  <c r="F241" i="2"/>
  <c r="F240" i="2"/>
  <c r="F239" i="2"/>
  <c r="F238" i="2"/>
  <c r="F237" i="2"/>
  <c r="F229" i="2"/>
  <c r="F228" i="2"/>
  <c r="F227" i="2"/>
  <c r="F226" i="2"/>
  <c r="F225" i="2"/>
  <c r="F217" i="2"/>
  <c r="F216" i="2"/>
  <c r="F215" i="2"/>
  <c r="F214" i="2"/>
  <c r="F213" i="2"/>
  <c r="F205" i="2"/>
  <c r="F204" i="2"/>
  <c r="F203" i="2"/>
  <c r="F202" i="2"/>
  <c r="F201" i="2"/>
  <c r="F193" i="2"/>
  <c r="F192" i="2"/>
  <c r="F191" i="2"/>
  <c r="F190" i="2"/>
  <c r="F189" i="2"/>
  <c r="F181" i="2"/>
  <c r="F180" i="2"/>
  <c r="F179" i="2"/>
  <c r="F178" i="2"/>
  <c r="F177" i="2"/>
  <c r="F169" i="2"/>
  <c r="F168" i="2"/>
  <c r="F167" i="2"/>
  <c r="F166" i="2"/>
  <c r="F165" i="2"/>
  <c r="F157" i="2"/>
  <c r="F156" i="2"/>
  <c r="F155" i="2"/>
  <c r="F154" i="2"/>
  <c r="F153" i="2"/>
  <c r="F145" i="2"/>
  <c r="F144" i="2"/>
  <c r="F143" i="2"/>
  <c r="F142" i="2"/>
  <c r="F141" i="2"/>
  <c r="F133" i="2"/>
  <c r="F132" i="2"/>
  <c r="F131" i="2"/>
  <c r="F130" i="2"/>
  <c r="F129" i="2"/>
  <c r="F121" i="2"/>
  <c r="F120" i="2"/>
  <c r="F119" i="2"/>
  <c r="F118" i="2"/>
  <c r="F117" i="2"/>
  <c r="F109" i="2"/>
  <c r="F108" i="2"/>
  <c r="F107" i="2"/>
  <c r="F106" i="2"/>
  <c r="F105" i="2"/>
  <c r="F97" i="2"/>
  <c r="F96" i="2"/>
  <c r="F95" i="2"/>
  <c r="F94" i="2"/>
  <c r="F93" i="2"/>
  <c r="F85" i="2"/>
  <c r="F84" i="2"/>
  <c r="F83" i="2"/>
  <c r="F82" i="2"/>
  <c r="F81" i="2"/>
  <c r="F73" i="2"/>
  <c r="F72" i="2"/>
  <c r="F71" i="2"/>
  <c r="F70" i="2"/>
  <c r="F69" i="2"/>
  <c r="F61" i="2"/>
  <c r="F60" i="2"/>
  <c r="F59" i="2"/>
  <c r="F58" i="2"/>
  <c r="F57" i="2"/>
  <c r="F49" i="2"/>
  <c r="F48" i="2"/>
  <c r="F47" i="2"/>
  <c r="F46" i="2"/>
  <c r="F45" i="2"/>
  <c r="F37" i="2"/>
  <c r="F36" i="2"/>
  <c r="F35" i="2"/>
  <c r="F34" i="2"/>
  <c r="F33" i="2"/>
  <c r="F25" i="2"/>
  <c r="F24" i="2"/>
  <c r="F23" i="2"/>
  <c r="F22" i="2"/>
  <c r="F21" i="2"/>
  <c r="F14" i="2"/>
  <c r="F13" i="2"/>
  <c r="F12" i="2"/>
  <c r="F11" i="2"/>
  <c r="F10" i="2"/>
  <c r="F9" i="2"/>
  <c r="F3" i="2"/>
  <c r="F4" i="2"/>
  <c r="F5" i="2"/>
  <c r="F6" i="2"/>
  <c r="F7" i="2"/>
  <c r="F8" i="2"/>
  <c r="F15" i="2"/>
  <c r="F16" i="2"/>
  <c r="F17" i="2"/>
  <c r="F18" i="2"/>
  <c r="F19" i="2"/>
  <c r="F20" i="2"/>
  <c r="F26" i="2"/>
  <c r="F27" i="2"/>
  <c r="F28" i="2"/>
  <c r="F29" i="2"/>
  <c r="F30" i="2"/>
  <c r="F31" i="2"/>
  <c r="F32" i="2"/>
  <c r="F38" i="2"/>
  <c r="F39" i="2"/>
  <c r="F40" i="2"/>
  <c r="F41" i="2"/>
  <c r="F42" i="2"/>
  <c r="F43" i="2"/>
  <c r="F44" i="2"/>
  <c r="F50" i="2"/>
  <c r="F51" i="2"/>
  <c r="F52" i="2"/>
  <c r="F53" i="2"/>
  <c r="F54" i="2"/>
  <c r="F55" i="2"/>
  <c r="F56" i="2"/>
  <c r="F62" i="2"/>
  <c r="F63" i="2"/>
  <c r="F64" i="2"/>
  <c r="F65" i="2"/>
  <c r="F66" i="2"/>
  <c r="F67" i="2"/>
  <c r="F68" i="2"/>
  <c r="F74" i="2"/>
  <c r="F75" i="2"/>
  <c r="F76" i="2"/>
  <c r="F77" i="2"/>
  <c r="F78" i="2"/>
  <c r="F79" i="2"/>
  <c r="F80" i="2"/>
  <c r="F86" i="2"/>
  <c r="F87" i="2"/>
  <c r="F88" i="2"/>
  <c r="F89" i="2"/>
  <c r="F90" i="2"/>
  <c r="F91" i="2"/>
  <c r="F92" i="2"/>
  <c r="F98" i="2"/>
  <c r="F99" i="2"/>
  <c r="F100" i="2"/>
  <c r="F101" i="2"/>
  <c r="F102" i="2"/>
  <c r="F103" i="2"/>
  <c r="F104" i="2"/>
  <c r="F110" i="2"/>
  <c r="F111" i="2"/>
  <c r="F112" i="2"/>
  <c r="F113" i="2"/>
  <c r="F114" i="2"/>
  <c r="F115" i="2"/>
  <c r="F116" i="2"/>
  <c r="F122" i="2"/>
  <c r="F123" i="2"/>
  <c r="F124" i="2"/>
  <c r="F125" i="2"/>
  <c r="F126" i="2"/>
  <c r="F127" i="2"/>
  <c r="F128" i="2"/>
  <c r="F134" i="2"/>
  <c r="F135" i="2"/>
  <c r="F136" i="2"/>
  <c r="F137" i="2"/>
  <c r="F138" i="2"/>
  <c r="F139" i="2"/>
  <c r="F140" i="2"/>
  <c r="F146" i="2"/>
  <c r="F147" i="2"/>
  <c r="F148" i="2"/>
  <c r="F149" i="2"/>
  <c r="F150" i="2"/>
  <c r="F151" i="2"/>
  <c r="F152" i="2"/>
  <c r="F158" i="2"/>
  <c r="F159" i="2"/>
  <c r="F160" i="2"/>
  <c r="F161" i="2"/>
  <c r="F162" i="2"/>
  <c r="F163" i="2"/>
  <c r="F164" i="2"/>
  <c r="F170" i="2"/>
  <c r="F171" i="2"/>
  <c r="F172" i="2"/>
  <c r="F173" i="2"/>
  <c r="F174" i="2"/>
  <c r="F175" i="2"/>
  <c r="F176" i="2"/>
  <c r="F182" i="2"/>
  <c r="F183" i="2"/>
  <c r="F184" i="2"/>
  <c r="F185" i="2"/>
  <c r="F186" i="2"/>
  <c r="F187" i="2"/>
  <c r="F188" i="2"/>
  <c r="F194" i="2"/>
  <c r="F195" i="2"/>
  <c r="F196" i="2"/>
  <c r="F197" i="2"/>
  <c r="F198" i="2"/>
  <c r="F199" i="2"/>
  <c r="F200" i="2"/>
  <c r="F206" i="2"/>
  <c r="F207" i="2"/>
  <c r="F208" i="2"/>
  <c r="F209" i="2"/>
  <c r="F210" i="2"/>
  <c r="F211" i="2"/>
  <c r="F212" i="2"/>
  <c r="F218" i="2"/>
  <c r="F219" i="2"/>
  <c r="F220" i="2"/>
  <c r="F221" i="2"/>
  <c r="F222" i="2"/>
  <c r="F223" i="2"/>
  <c r="F224" i="2"/>
  <c r="F230" i="2"/>
  <c r="F231" i="2"/>
  <c r="F232" i="2"/>
  <c r="F233" i="2"/>
  <c r="F234" i="2"/>
  <c r="F235" i="2"/>
  <c r="F236" i="2"/>
  <c r="F242" i="2"/>
  <c r="F243" i="2"/>
  <c r="F244" i="2"/>
  <c r="F245" i="2"/>
  <c r="F246" i="2"/>
  <c r="F247" i="2"/>
  <c r="F248" i="2"/>
  <c r="F254" i="2"/>
  <c r="F255" i="2"/>
  <c r="F256" i="2"/>
  <c r="F257" i="2"/>
  <c r="F258" i="2"/>
  <c r="F259" i="2"/>
  <c r="F260" i="2"/>
  <c r="F266" i="2"/>
  <c r="F267" i="2"/>
  <c r="F268" i="2"/>
  <c r="F269" i="2"/>
  <c r="F270" i="2"/>
  <c r="F271" i="2"/>
  <c r="F272" i="2"/>
  <c r="F278" i="2"/>
  <c r="F279" i="2"/>
  <c r="F280" i="2"/>
  <c r="F281" i="2"/>
  <c r="F282" i="2"/>
  <c r="F283" i="2"/>
  <c r="F284" i="2"/>
  <c r="F290" i="2"/>
  <c r="F291" i="2"/>
  <c r="F292" i="2"/>
  <c r="F293" i="2"/>
  <c r="F294" i="2"/>
  <c r="F295" i="2"/>
  <c r="F296" i="2"/>
  <c r="F302" i="2"/>
  <c r="F303" i="2"/>
  <c r="F304" i="2"/>
  <c r="F305" i="2"/>
  <c r="F306" i="2"/>
  <c r="F307" i="2"/>
  <c r="F308" i="2"/>
  <c r="F314" i="2"/>
  <c r="F315" i="2"/>
  <c r="F316" i="2"/>
  <c r="F317" i="2"/>
  <c r="F318" i="2"/>
  <c r="F319" i="2"/>
  <c r="F320" i="2"/>
  <c r="F326" i="2"/>
  <c r="F327" i="2"/>
  <c r="F328" i="2"/>
  <c r="F329" i="2"/>
  <c r="F330" i="2"/>
  <c r="F331" i="2"/>
  <c r="F332" i="2"/>
  <c r="F338" i="2"/>
  <c r="F339" i="2"/>
  <c r="F340" i="2"/>
  <c r="F341" i="2"/>
  <c r="F342" i="2"/>
  <c r="F343" i="2"/>
  <c r="F344" i="2"/>
  <c r="F350" i="2"/>
  <c r="F351" i="2"/>
  <c r="F352" i="2"/>
  <c r="F353" i="2"/>
  <c r="F354" i="2"/>
  <c r="F355" i="2"/>
  <c r="F356" i="2"/>
  <c r="F362" i="2"/>
  <c r="F363" i="2"/>
  <c r="F364" i="2"/>
  <c r="F365" i="2"/>
  <c r="F366" i="2"/>
  <c r="F367" i="2"/>
  <c r="F368" i="2"/>
  <c r="F374" i="2"/>
  <c r="F375" i="2"/>
  <c r="F376" i="2"/>
  <c r="F377" i="2"/>
  <c r="F378" i="2"/>
  <c r="F379" i="2"/>
  <c r="F380" i="2"/>
  <c r="F386" i="2"/>
  <c r="F387" i="2"/>
  <c r="F388" i="2"/>
  <c r="F389" i="2"/>
  <c r="F390" i="2"/>
  <c r="F391" i="2"/>
  <c r="F392" i="2"/>
  <c r="F398" i="2"/>
  <c r="F399" i="2"/>
  <c r="F400" i="2"/>
  <c r="F401" i="2"/>
  <c r="F402" i="2"/>
  <c r="F403" i="2"/>
  <c r="F404" i="2"/>
  <c r="F410" i="2"/>
  <c r="F411" i="2"/>
  <c r="F412" i="2"/>
  <c r="F413" i="2"/>
  <c r="F414" i="2"/>
  <c r="F415" i="2"/>
  <c r="F416" i="2"/>
  <c r="F417" i="2"/>
  <c r="F422" i="2"/>
  <c r="F423" i="2"/>
  <c r="F424" i="2"/>
  <c r="F425" i="2"/>
  <c r="F426" i="2"/>
  <c r="F427" i="2"/>
  <c r="F428" i="2"/>
  <c r="F429" i="2"/>
  <c r="F434" i="2"/>
  <c r="F435" i="2"/>
  <c r="F436" i="2"/>
  <c r="F437" i="2"/>
  <c r="F438" i="2"/>
  <c r="F439" i="2"/>
  <c r="F440" i="2"/>
  <c r="F441" i="2"/>
  <c r="F446" i="2"/>
  <c r="F447" i="2"/>
  <c r="F448" i="2"/>
  <c r="F449" i="2"/>
  <c r="F450" i="2"/>
  <c r="F451" i="2"/>
  <c r="F452" i="2"/>
  <c r="F453" i="2"/>
  <c r="F458" i="2"/>
  <c r="F459" i="2"/>
  <c r="F460" i="2"/>
  <c r="F461" i="2"/>
  <c r="F462" i="2"/>
  <c r="F463" i="2"/>
  <c r="F464" i="2"/>
  <c r="F465" i="2"/>
  <c r="F470" i="2"/>
  <c r="F471" i="2"/>
  <c r="F472" i="2"/>
  <c r="F473" i="2"/>
  <c r="F474" i="2"/>
  <c r="F475" i="2"/>
  <c r="F476" i="2"/>
  <c r="F477" i="2"/>
  <c r="F482" i="2"/>
  <c r="F483" i="2"/>
  <c r="F484" i="2"/>
  <c r="F485" i="2"/>
  <c r="F486" i="2"/>
  <c r="F487" i="2"/>
  <c r="F488" i="2"/>
  <c r="F489" i="2"/>
  <c r="F494" i="2"/>
  <c r="F495" i="2"/>
  <c r="F496" i="2"/>
  <c r="F497" i="2"/>
  <c r="F498" i="2"/>
  <c r="F499" i="2"/>
  <c r="F500" i="2"/>
  <c r="F501" i="2"/>
  <c r="M2" i="2" l="1" a="1"/>
  <c r="M2" i="2" s="1"/>
  <c r="M28" i="2" s="1"/>
  <c r="U2" i="2" a="1"/>
  <c r="U2" i="2" s="1"/>
  <c r="I15" i="3"/>
  <c r="P2" i="3"/>
  <c r="L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<sst xmlns="http://schemas.openxmlformats.org/spreadsheetml/2006/main" count="8325" uniqueCount="822">
  <si>
    <t>Order ID</t>
  </si>
  <si>
    <t>Order Date</t>
  </si>
  <si>
    <t>Customer ID</t>
  </si>
  <si>
    <t>Customer Name</t>
  </si>
  <si>
    <t>City</t>
  </si>
  <si>
    <t>Product</t>
  </si>
  <si>
    <t>Category</t>
  </si>
  <si>
    <t>Quantity</t>
  </si>
  <si>
    <t>Unit Price</t>
  </si>
  <si>
    <t>Discount %</t>
  </si>
  <si>
    <t>Payment Method</t>
  </si>
  <si>
    <t>Order Status</t>
  </si>
  <si>
    <t>Delivery Days</t>
  </si>
  <si>
    <t>ORD10001</t>
  </si>
  <si>
    <t>CUST1150</t>
  </si>
  <si>
    <t>Aditya</t>
  </si>
  <si>
    <t>Lucknow</t>
  </si>
  <si>
    <t>Power Bank</t>
  </si>
  <si>
    <t>Electronics</t>
  </si>
  <si>
    <t>UPI</t>
  </si>
  <si>
    <t>Delivered</t>
  </si>
  <si>
    <t>ORD10002</t>
  </si>
  <si>
    <t>CUST1049</t>
  </si>
  <si>
    <t>Pooja</t>
  </si>
  <si>
    <t>Chandigarh</t>
  </si>
  <si>
    <t>Hair Dryer</t>
  </si>
  <si>
    <t>Beauty</t>
  </si>
  <si>
    <t>Card</t>
  </si>
  <si>
    <t>ORD10003</t>
  </si>
  <si>
    <t>CUST1051</t>
  </si>
  <si>
    <t>Simran</t>
  </si>
  <si>
    <t>Noida</t>
  </si>
  <si>
    <t>Laptop Stand</t>
  </si>
  <si>
    <t>ORD10004</t>
  </si>
  <si>
    <t>CUST1084</t>
  </si>
  <si>
    <t>Rohan</t>
  </si>
  <si>
    <t>Delhi</t>
  </si>
  <si>
    <t>ORD10005</t>
  </si>
  <si>
    <t>CUST1106</t>
  </si>
  <si>
    <t>Aman</t>
  </si>
  <si>
    <t>Gurugram</t>
  </si>
  <si>
    <t>ORD10006</t>
  </si>
  <si>
    <t>CUST1040</t>
  </si>
  <si>
    <t>Aarav</t>
  </si>
  <si>
    <t>Green Tea</t>
  </si>
  <si>
    <t>Grocery</t>
  </si>
  <si>
    <t>Cancelled</t>
  </si>
  <si>
    <t>ORD10007</t>
  </si>
  <si>
    <t>CUST1089</t>
  </si>
  <si>
    <t>Table Lamp</t>
  </si>
  <si>
    <t>Home</t>
  </si>
  <si>
    <t>ORD10008</t>
  </si>
  <si>
    <t>CUST1135</t>
  </si>
  <si>
    <t>Isha</t>
  </si>
  <si>
    <t>Hoodie</t>
  </si>
  <si>
    <t>Fashion</t>
  </si>
  <si>
    <t>COD</t>
  </si>
  <si>
    <t>ORD10009</t>
  </si>
  <si>
    <t>CUST1175</t>
  </si>
  <si>
    <t>ORD10010</t>
  </si>
  <si>
    <t>CUST1096</t>
  </si>
  <si>
    <t>Nikhil</t>
  </si>
  <si>
    <t>Storage Box</t>
  </si>
  <si>
    <t>ORD10011</t>
  </si>
  <si>
    <t>CUST1086</t>
  </si>
  <si>
    <t>Jaipur</t>
  </si>
  <si>
    <t>ORD10012</t>
  </si>
  <si>
    <t>CUST1075</t>
  </si>
  <si>
    <t>Face Wash</t>
  </si>
  <si>
    <t>ORD10013</t>
  </si>
  <si>
    <t>CUST1137</t>
  </si>
  <si>
    <t>Riya</t>
  </si>
  <si>
    <t>Coffee</t>
  </si>
  <si>
    <t>ORD10014</t>
  </si>
  <si>
    <t>CUST1113</t>
  </si>
  <si>
    <t>Sneha</t>
  </si>
  <si>
    <t>ORD10015</t>
  </si>
  <si>
    <t>CUST1129</t>
  </si>
  <si>
    <t>ORD10016</t>
  </si>
  <si>
    <t>CUST1038</t>
  </si>
  <si>
    <t>Varun</t>
  </si>
  <si>
    <t>Faridabad</t>
  </si>
  <si>
    <t>Bedsheet Set</t>
  </si>
  <si>
    <t>ORD10017</t>
  </si>
  <si>
    <t>CUST1164</t>
  </si>
  <si>
    <t>Dry Fruits</t>
  </si>
  <si>
    <t>ORD10018</t>
  </si>
  <si>
    <t xml:space="preserve"> Pooja </t>
  </si>
  <si>
    <t>Shampoo</t>
  </si>
  <si>
    <t>ORD10019</t>
  </si>
  <si>
    <t>Bluetooth Speaker</t>
  </si>
  <si>
    <t>Net Banking</t>
  </si>
  <si>
    <t>ORD10020</t>
  </si>
  <si>
    <t>CUST1054</t>
  </si>
  <si>
    <t>Karan</t>
  </si>
  <si>
    <t>Protein Bars</t>
  </si>
  <si>
    <t>ORD10021</t>
  </si>
  <si>
    <t>CUST1099</t>
  </si>
  <si>
    <t>Meera</t>
  </si>
  <si>
    <t>ORD10022</t>
  </si>
  <si>
    <t>CUST1148</t>
  </si>
  <si>
    <t>Arjun</t>
  </si>
  <si>
    <t>ORD10023</t>
  </si>
  <si>
    <t>ORD10024</t>
  </si>
  <si>
    <t>CUST1004</t>
  </si>
  <si>
    <t>ORD10025</t>
  </si>
  <si>
    <t>CUST1037</t>
  </si>
  <si>
    <t>ORD10026</t>
  </si>
  <si>
    <t>CUST1025</t>
  </si>
  <si>
    <t>Neha</t>
  </si>
  <si>
    <t>ORD10027</t>
  </si>
  <si>
    <t>CUST1017</t>
  </si>
  <si>
    <t>ORD10028</t>
  </si>
  <si>
    <t>Body Lotion</t>
  </si>
  <si>
    <t>ORD10029</t>
  </si>
  <si>
    <t>CUST1063</t>
  </si>
  <si>
    <t>Priya</t>
  </si>
  <si>
    <t>Ghaziabad</t>
  </si>
  <si>
    <t>ORD10030</t>
  </si>
  <si>
    <t>CUST1008</t>
  </si>
  <si>
    <t>ORD10031</t>
  </si>
  <si>
    <t>CUST1145</t>
  </si>
  <si>
    <t>Oats</t>
  </si>
  <si>
    <t>ORD10032</t>
  </si>
  <si>
    <t>Backpack</t>
  </si>
  <si>
    <t>ORD10033</t>
  </si>
  <si>
    <t>CUST1076</t>
  </si>
  <si>
    <t>Running Shoes</t>
  </si>
  <si>
    <t>ORD10034</t>
  </si>
  <si>
    <t>CUST1144</t>
  </si>
  <si>
    <t>ORD10035</t>
  </si>
  <si>
    <t>T-Shirt</t>
  </si>
  <si>
    <t>ORD10036</t>
  </si>
  <si>
    <t>CUST1124</t>
  </si>
  <si>
    <t>ORD10037</t>
  </si>
  <si>
    <t>Cushion Set</t>
  </si>
  <si>
    <t>ORD10038</t>
  </si>
  <si>
    <t>CUST1157</t>
  </si>
  <si>
    <t>ORD10039</t>
  </si>
  <si>
    <t>Returned</t>
  </si>
  <si>
    <t>ORD10040</t>
  </si>
  <si>
    <t>Water Bottle</t>
  </si>
  <si>
    <t>ORD10041</t>
  </si>
  <si>
    <t>CUST1128</t>
  </si>
  <si>
    <t>ORD10042</t>
  </si>
  <si>
    <t>CUST1151</t>
  </si>
  <si>
    <t>ORD10043</t>
  </si>
  <si>
    <t>ORD10044</t>
  </si>
  <si>
    <t>CUST1122</t>
  </si>
  <si>
    <t>Rahul</t>
  </si>
  <si>
    <t>ORD10045</t>
  </si>
  <si>
    <t>CUST1019</t>
  </si>
  <si>
    <t>ORD10046</t>
  </si>
  <si>
    <t>CUST1058</t>
  </si>
  <si>
    <t>ORD10047</t>
  </si>
  <si>
    <t>CUST1166</t>
  </si>
  <si>
    <t>Wireless Earbuds</t>
  </si>
  <si>
    <t>ORD10048</t>
  </si>
  <si>
    <t>ORD10049</t>
  </si>
  <si>
    <t>ORD10050</t>
  </si>
  <si>
    <t>CUST1101</t>
  </si>
  <si>
    <t>Ananya</t>
  </si>
  <si>
    <t>ORD10051</t>
  </si>
  <si>
    <t>CUST1046</t>
  </si>
  <si>
    <t>ORD10052</t>
  </si>
  <si>
    <t>CUST1118</t>
  </si>
  <si>
    <t>ORD10053</t>
  </si>
  <si>
    <t>CUST1161</t>
  </si>
  <si>
    <t>ORD10054</t>
  </si>
  <si>
    <t>CUST1053</t>
  </si>
  <si>
    <t>ORD10055</t>
  </si>
  <si>
    <t>ORD10056</t>
  </si>
  <si>
    <t>CUST1057</t>
  </si>
  <si>
    <t>ORD10057</t>
  </si>
  <si>
    <t>ORD10058</t>
  </si>
  <si>
    <t>ORD10059</t>
  </si>
  <si>
    <t>CUST1126</t>
  </si>
  <si>
    <t>ORD10060</t>
  </si>
  <si>
    <t>ORD10061</t>
  </si>
  <si>
    <t>CUST1149</t>
  </si>
  <si>
    <t>ORD10062</t>
  </si>
  <si>
    <t>CUST1056</t>
  </si>
  <si>
    <t>ORD10063</t>
  </si>
  <si>
    <t>CUST1047</t>
  </si>
  <si>
    <t>Kavya</t>
  </si>
  <si>
    <t>ORD10064</t>
  </si>
  <si>
    <t>ORD10065</t>
  </si>
  <si>
    <t>CUST1039</t>
  </si>
  <si>
    <t>ORD10066</t>
  </si>
  <si>
    <t>CUST1111</t>
  </si>
  <si>
    <t>Jeans</t>
  </si>
  <si>
    <t>ORD10067</t>
  </si>
  <si>
    <t>CUST1059</t>
  </si>
  <si>
    <t>ORD10068</t>
  </si>
  <si>
    <t>ORD10069</t>
  </si>
  <si>
    <t>CUST1133</t>
  </si>
  <si>
    <t>ORD10070</t>
  </si>
  <si>
    <t>CUST1100</t>
  </si>
  <si>
    <t>ORD10071</t>
  </si>
  <si>
    <t>CUST1130</t>
  </si>
  <si>
    <t>ORD10072</t>
  </si>
  <si>
    <t>ORD10073</t>
  </si>
  <si>
    <t>CUST1165</t>
  </si>
  <si>
    <t>ORD10074</t>
  </si>
  <si>
    <t>ORD10075</t>
  </si>
  <si>
    <t>CUST1179</t>
  </si>
  <si>
    <t>ORD10076</t>
  </si>
  <si>
    <t>CUST1155</t>
  </si>
  <si>
    <t>ORD10077</t>
  </si>
  <si>
    <t>ORD10078</t>
  </si>
  <si>
    <t>CUST1068</t>
  </si>
  <si>
    <t>ORD10079</t>
  </si>
  <si>
    <t>CUST1134</t>
  </si>
  <si>
    <t>Smart Watch</t>
  </si>
  <si>
    <t>ORD10080</t>
  </si>
  <si>
    <t>CUST1060</t>
  </si>
  <si>
    <t>ORD10081</t>
  </si>
  <si>
    <t>CUST1029</t>
  </si>
  <si>
    <t>ORD10082</t>
  </si>
  <si>
    <t>CUST1001</t>
  </si>
  <si>
    <t>ORD10083</t>
  </si>
  <si>
    <t>ORD10084</t>
  </si>
  <si>
    <t xml:space="preserve"> Noida </t>
  </si>
  <si>
    <t>ORD10085</t>
  </si>
  <si>
    <t>CUST1081</t>
  </si>
  <si>
    <t>ORD10086</t>
  </si>
  <si>
    <t>ORD10087</t>
  </si>
  <si>
    <t>ORD10088</t>
  </si>
  <si>
    <t>CUST1110</t>
  </si>
  <si>
    <t>ORD10089</t>
  </si>
  <si>
    <t>CUST1072</t>
  </si>
  <si>
    <t>Vivek</t>
  </si>
  <si>
    <t>ORD10090</t>
  </si>
  <si>
    <t>CUST1032</t>
  </si>
  <si>
    <t>ORD10091</t>
  </si>
  <si>
    <t>CUST1085</t>
  </si>
  <si>
    <t>ORD10092</t>
  </si>
  <si>
    <t>ORD10093</t>
  </si>
  <si>
    <t>ORD10094</t>
  </si>
  <si>
    <t>CUST1022</t>
  </si>
  <si>
    <t>ORD10095</t>
  </si>
  <si>
    <t>ORD10096</t>
  </si>
  <si>
    <t>CUST1098</t>
  </si>
  <si>
    <t>ORD10097</t>
  </si>
  <si>
    <t>ORD10098</t>
  </si>
  <si>
    <t>ORD10099</t>
  </si>
  <si>
    <t>CUST1109</t>
  </si>
  <si>
    <t>ORD10100</t>
  </si>
  <si>
    <t>CUST1131</t>
  </si>
  <si>
    <t>ORD10101</t>
  </si>
  <si>
    <t>ORD10102</t>
  </si>
  <si>
    <t>ORD10103</t>
  </si>
  <si>
    <t>CUST1014</t>
  </si>
  <si>
    <t>ORD10104</t>
  </si>
  <si>
    <t>CUST1146</t>
  </si>
  <si>
    <t>ORD10105</t>
  </si>
  <si>
    <t>CUST1015</t>
  </si>
  <si>
    <t>ORD10106</t>
  </si>
  <si>
    <t>CUST1055</t>
  </si>
  <si>
    <t>ORD10107</t>
  </si>
  <si>
    <t>CUST1016</t>
  </si>
  <si>
    <t>ORD10108</t>
  </si>
  <si>
    <t>ORD10109</t>
  </si>
  <si>
    <t>ORD10110</t>
  </si>
  <si>
    <t>CUST1117</t>
  </si>
  <si>
    <t>ORD10111</t>
  </si>
  <si>
    <t>CUST1178</t>
  </si>
  <si>
    <t>ORD10112</t>
  </si>
  <si>
    <t>ORD10113</t>
  </si>
  <si>
    <t>ORD10114</t>
  </si>
  <si>
    <t>CUST1067</t>
  </si>
  <si>
    <t>ORD10115</t>
  </si>
  <si>
    <t>ORD10116</t>
  </si>
  <si>
    <t>CUST1170</t>
  </si>
  <si>
    <t>ORD10117</t>
  </si>
  <si>
    <t>CUST1013</t>
  </si>
  <si>
    <t>ORD10118</t>
  </si>
  <si>
    <t>ORD10119</t>
  </si>
  <si>
    <t>ORD10120</t>
  </si>
  <si>
    <t>CUST1007</t>
  </si>
  <si>
    <t>ORD10121</t>
  </si>
  <si>
    <t>ORD10122</t>
  </si>
  <si>
    <t>ORD10123</t>
  </si>
  <si>
    <t>CUST1064</t>
  </si>
  <si>
    <t>ORD10124</t>
  </si>
  <si>
    <t>CUST1050</t>
  </si>
  <si>
    <t>ORD10125</t>
  </si>
  <si>
    <t>ORD10126</t>
  </si>
  <si>
    <t>ORD10127</t>
  </si>
  <si>
    <t>ORD10128</t>
  </si>
  <si>
    <t>CUST1158</t>
  </si>
  <si>
    <t>ORD10129</t>
  </si>
  <si>
    <t>CUST1119</t>
  </si>
  <si>
    <t>ORD10130</t>
  </si>
  <si>
    <t>ORD10131</t>
  </si>
  <si>
    <t>CUST1154</t>
  </si>
  <si>
    <t>ORD10132</t>
  </si>
  <si>
    <t>ORD10133</t>
  </si>
  <si>
    <t>ORD10134</t>
  </si>
  <si>
    <t>CUST1159</t>
  </si>
  <si>
    <t>ORD10135</t>
  </si>
  <si>
    <t>ORD10136</t>
  </si>
  <si>
    <t>CUST1012</t>
  </si>
  <si>
    <t>ORD10137</t>
  </si>
  <si>
    <t>ORD10138</t>
  </si>
  <si>
    <t>CUST1070</t>
  </si>
  <si>
    <t>ORD10139</t>
  </si>
  <si>
    <t>CUST1139</t>
  </si>
  <si>
    <t>ORD10140</t>
  </si>
  <si>
    <t>CUST1171</t>
  </si>
  <si>
    <t>ORD10141</t>
  </si>
  <si>
    <t>ORD10142</t>
  </si>
  <si>
    <t xml:space="preserve">UPI </t>
  </si>
  <si>
    <t>ORD10143</t>
  </si>
  <si>
    <t>ORD10144</t>
  </si>
  <si>
    <t>ORD10145</t>
  </si>
  <si>
    <t>CUST1114</t>
  </si>
  <si>
    <t>ORD10146</t>
  </si>
  <si>
    <t>CUST1031</t>
  </si>
  <si>
    <t>ORD10147</t>
  </si>
  <si>
    <t>CUST1073</t>
  </si>
  <si>
    <t>ORD10148</t>
  </si>
  <si>
    <t>CUST1141</t>
  </si>
  <si>
    <t>ORD10149</t>
  </si>
  <si>
    <t>ORD10150</t>
  </si>
  <si>
    <t>CUST1003</t>
  </si>
  <si>
    <t>ORD10151</t>
  </si>
  <si>
    <t>CUST1044</t>
  </si>
  <si>
    <t>ORD10152</t>
  </si>
  <si>
    <t>ORD10153</t>
  </si>
  <si>
    <t>CUST1052</t>
  </si>
  <si>
    <t>ORD10154</t>
  </si>
  <si>
    <t>CUST1108</t>
  </si>
  <si>
    <t>ORD10155</t>
  </si>
  <si>
    <t>ORD10156</t>
  </si>
  <si>
    <t>ORD10157</t>
  </si>
  <si>
    <t>CUST1167</t>
  </si>
  <si>
    <t>ORD10158</t>
  </si>
  <si>
    <t>CUST1176</t>
  </si>
  <si>
    <t>ORD10159</t>
  </si>
  <si>
    <t>ORD10160</t>
  </si>
  <si>
    <t>CUST1102</t>
  </si>
  <si>
    <t>ORD10161</t>
  </si>
  <si>
    <t>ORD10162</t>
  </si>
  <si>
    <t>ORD10163</t>
  </si>
  <si>
    <t>CUST1116</t>
  </si>
  <si>
    <t>ORD10164</t>
  </si>
  <si>
    <t>ORD10165</t>
  </si>
  <si>
    <t>CUST1104</t>
  </si>
  <si>
    <t>ORD10166</t>
  </si>
  <si>
    <t>CUST1142</t>
  </si>
  <si>
    <t>ORD10167</t>
  </si>
  <si>
    <t>CUST1180</t>
  </si>
  <si>
    <t>ORD10168</t>
  </si>
  <si>
    <t>ORD10169</t>
  </si>
  <si>
    <t>CUST1020</t>
  </si>
  <si>
    <t>ORD10170</t>
  </si>
  <si>
    <t>ORD10171</t>
  </si>
  <si>
    <t>ORD10172</t>
  </si>
  <si>
    <t>ORD10173</t>
  </si>
  <si>
    <t>CUST1083</t>
  </si>
  <si>
    <t>ORD10174</t>
  </si>
  <si>
    <t>ORD10175</t>
  </si>
  <si>
    <t>ORD10176</t>
  </si>
  <si>
    <t>ORD10177</t>
  </si>
  <si>
    <t>ORD10178</t>
  </si>
  <si>
    <t>ORD10179</t>
  </si>
  <si>
    <t>CUST1010</t>
  </si>
  <si>
    <t>ORD10180</t>
  </si>
  <si>
    <t>ORD10181</t>
  </si>
  <si>
    <t>CUST1152</t>
  </si>
  <si>
    <t>ORD10182</t>
  </si>
  <si>
    <t>CUST1028</t>
  </si>
  <si>
    <t>ORD10183</t>
  </si>
  <si>
    <t>CUST1105</t>
  </si>
  <si>
    <t>ORD10184</t>
  </si>
  <si>
    <t>CUST1160</t>
  </si>
  <si>
    <t>ORD10185</t>
  </si>
  <si>
    <t>ORD10186</t>
  </si>
  <si>
    <t>ORD10187</t>
  </si>
  <si>
    <t>ORD10188</t>
  </si>
  <si>
    <t>CUST1095</t>
  </si>
  <si>
    <t>ORD10189</t>
  </si>
  <si>
    <t>Moisturizer</t>
  </si>
  <si>
    <t>ORD10190</t>
  </si>
  <si>
    <t>ORD10191</t>
  </si>
  <si>
    <t>ORD10192</t>
  </si>
  <si>
    <t>ORD10193</t>
  </si>
  <si>
    <t>ORD10194</t>
  </si>
  <si>
    <t>CUST1080</t>
  </si>
  <si>
    <t>ORD10195</t>
  </si>
  <si>
    <t>ORD10196</t>
  </si>
  <si>
    <t>ORD10197</t>
  </si>
  <si>
    <t>ORD10198</t>
  </si>
  <si>
    <t>ORD10199</t>
  </si>
  <si>
    <t>CUST1005</t>
  </si>
  <si>
    <t>ORD10200</t>
  </si>
  <si>
    <t>ORD10201</t>
  </si>
  <si>
    <t>ORD10202</t>
  </si>
  <si>
    <t>ORD10203</t>
  </si>
  <si>
    <t>CUST1143</t>
  </si>
  <si>
    <t>ORD10204</t>
  </si>
  <si>
    <t>ORD10205</t>
  </si>
  <si>
    <t>CUST1071</t>
  </si>
  <si>
    <t>ORD10206</t>
  </si>
  <si>
    <t>ORD10207</t>
  </si>
  <si>
    <t>CUST1125</t>
  </si>
  <si>
    <t>ORD10208</t>
  </si>
  <si>
    <t>ORD10209</t>
  </si>
  <si>
    <t>ORD10210</t>
  </si>
  <si>
    <t>CUST1123</t>
  </si>
  <si>
    <t>ORD10211</t>
  </si>
  <si>
    <t>ORD10212</t>
  </si>
  <si>
    <t>ORD10213</t>
  </si>
  <si>
    <t>ORD10214</t>
  </si>
  <si>
    <t>CUST1156</t>
  </si>
  <si>
    <t>ORD10215</t>
  </si>
  <si>
    <t>ORD10216</t>
  </si>
  <si>
    <t>ORD10217</t>
  </si>
  <si>
    <t>CUST1041</t>
  </si>
  <si>
    <t>ORD10218</t>
  </si>
  <si>
    <t>ORD10219</t>
  </si>
  <si>
    <t>CUST1087</t>
  </si>
  <si>
    <t>ORD10220</t>
  </si>
  <si>
    <t>ORD10221</t>
  </si>
  <si>
    <t>CUST1120</t>
  </si>
  <si>
    <t>ORD10222</t>
  </si>
  <si>
    <t>ORD10223</t>
  </si>
  <si>
    <t>ORD10224</t>
  </si>
  <si>
    <t>ORD10225</t>
  </si>
  <si>
    <t>CUST1002</t>
  </si>
  <si>
    <t>ORD10226</t>
  </si>
  <si>
    <t>CUST1069</t>
  </si>
  <si>
    <t>ORD10227</t>
  </si>
  <si>
    <t>CUST1065</t>
  </si>
  <si>
    <t>ORD10228</t>
  </si>
  <si>
    <t>CUST1093</t>
  </si>
  <si>
    <t>ORD10229</t>
  </si>
  <si>
    <t>ORD10230</t>
  </si>
  <si>
    <t>ORD10231</t>
  </si>
  <si>
    <t>ORD10232</t>
  </si>
  <si>
    <t>CUST1107</t>
  </si>
  <si>
    <t>ORD10233</t>
  </si>
  <si>
    <t>CUST1011</t>
  </si>
  <si>
    <t>ORD10234</t>
  </si>
  <si>
    <t>ORD10235</t>
  </si>
  <si>
    <t>CUST1177</t>
  </si>
  <si>
    <t>ORD10236</t>
  </si>
  <si>
    <t>CUST1168</t>
  </si>
  <si>
    <t>ORD10237</t>
  </si>
  <si>
    <t>ORD10238</t>
  </si>
  <si>
    <t>ORD10239</t>
  </si>
  <si>
    <t>CUST1062</t>
  </si>
  <si>
    <t>ORD10240</t>
  </si>
  <si>
    <t>ORD10241</t>
  </si>
  <si>
    <t>CUST1048</t>
  </si>
  <si>
    <t>ORD10242</t>
  </si>
  <si>
    <t>ORD10243</t>
  </si>
  <si>
    <t>ORD10244</t>
  </si>
  <si>
    <t>ORD10245</t>
  </si>
  <si>
    <t>ORD10246</t>
  </si>
  <si>
    <t>ORD10247</t>
  </si>
  <si>
    <t>ORD10248</t>
  </si>
  <si>
    <t>ORD10249</t>
  </si>
  <si>
    <t>CUST1082</t>
  </si>
  <si>
    <t>ORD10250</t>
  </si>
  <si>
    <t>ORD10251</t>
  </si>
  <si>
    <t>ORD10252</t>
  </si>
  <si>
    <t>ORD10253</t>
  </si>
  <si>
    <t>ORD10254</t>
  </si>
  <si>
    <t>CUST1147</t>
  </si>
  <si>
    <t>ORD10255</t>
  </si>
  <si>
    <t>ORD10256</t>
  </si>
  <si>
    <t>CUST1163</t>
  </si>
  <si>
    <t>ORD10257</t>
  </si>
  <si>
    <t>CUST1035</t>
  </si>
  <si>
    <t>ORD10258</t>
  </si>
  <si>
    <t>CUST1173</t>
  </si>
  <si>
    <t>ORD10259</t>
  </si>
  <si>
    <t>ORD10260</t>
  </si>
  <si>
    <t>ORD10261</t>
  </si>
  <si>
    <t>ORD10262</t>
  </si>
  <si>
    <t>ORD10263</t>
  </si>
  <si>
    <t>ORD10264</t>
  </si>
  <si>
    <t>ORD10265</t>
  </si>
  <si>
    <t>ORD10266</t>
  </si>
  <si>
    <t>ORD10267</t>
  </si>
  <si>
    <t>CUST1103</t>
  </si>
  <si>
    <t>ORD10268</t>
  </si>
  <si>
    <t>ORD10269</t>
  </si>
  <si>
    <t>ORD10270</t>
  </si>
  <si>
    <t>ORD10271</t>
  </si>
  <si>
    <t>ORD10272</t>
  </si>
  <si>
    <t>ORD10273</t>
  </si>
  <si>
    <t>ORD10274</t>
  </si>
  <si>
    <t>ORD10275</t>
  </si>
  <si>
    <t>ORD10276</t>
  </si>
  <si>
    <t>ORD10277</t>
  </si>
  <si>
    <t>CUST1026</t>
  </si>
  <si>
    <t>ORD10278</t>
  </si>
  <si>
    <t>ORD10279</t>
  </si>
  <si>
    <t>ORD10280</t>
  </si>
  <si>
    <t>CUST1078</t>
  </si>
  <si>
    <t>ORD10281</t>
  </si>
  <si>
    <t>ORD10282</t>
  </si>
  <si>
    <t>ORD10283</t>
  </si>
  <si>
    <t>ORD10284</t>
  </si>
  <si>
    <t>ORD10285</t>
  </si>
  <si>
    <t>CUST1066</t>
  </si>
  <si>
    <t>ORD10286</t>
  </si>
  <si>
    <t>CUST1009</t>
  </si>
  <si>
    <t>ORD10287</t>
  </si>
  <si>
    <t>CUST1090</t>
  </si>
  <si>
    <t>ORD10288</t>
  </si>
  <si>
    <t>ORD10289</t>
  </si>
  <si>
    <t>ORD10290</t>
  </si>
  <si>
    <t>ORD10291</t>
  </si>
  <si>
    <t>ORD10292</t>
  </si>
  <si>
    <t>ORD10293</t>
  </si>
  <si>
    <t>CUST1169</t>
  </si>
  <si>
    <t>ORD10294</t>
  </si>
  <si>
    <t>ORD10295</t>
  </si>
  <si>
    <t>ORD10296</t>
  </si>
  <si>
    <t>ORD10297</t>
  </si>
  <si>
    <t>ORD10298</t>
  </si>
  <si>
    <t>ORD10299</t>
  </si>
  <si>
    <t>ORD10300</t>
  </si>
  <si>
    <t>CUST1132</t>
  </si>
  <si>
    <t>ORD10301</t>
  </si>
  <si>
    <t>ORD10302</t>
  </si>
  <si>
    <t>ORD10303</t>
  </si>
  <si>
    <t>ORD10304</t>
  </si>
  <si>
    <t>ORD10305</t>
  </si>
  <si>
    <t>ORD10306</t>
  </si>
  <si>
    <t>CUST1006</t>
  </si>
  <si>
    <t>ORD10307</t>
  </si>
  <si>
    <t>ORD10308</t>
  </si>
  <si>
    <t>ORD10309</t>
  </si>
  <si>
    <t>ORD10310</t>
  </si>
  <si>
    <t>ORD10311</t>
  </si>
  <si>
    <t>ORD10312</t>
  </si>
  <si>
    <t>CUST1127</t>
  </si>
  <si>
    <t>ORD10313</t>
  </si>
  <si>
    <t>CUST1121</t>
  </si>
  <si>
    <t>ORD10314</t>
  </si>
  <si>
    <t>ORD10315</t>
  </si>
  <si>
    <t>CUST1138</t>
  </si>
  <si>
    <t>ORD10316</t>
  </si>
  <si>
    <t>ORD10317</t>
  </si>
  <si>
    <t>ORD10318</t>
  </si>
  <si>
    <t>ORD10319</t>
  </si>
  <si>
    <t>ORD10320</t>
  </si>
  <si>
    <t>CUST1092</t>
  </si>
  <si>
    <t>ORD10321</t>
  </si>
  <si>
    <t>CUST1021</t>
  </si>
  <si>
    <t>ORD10322</t>
  </si>
  <si>
    <t>ORD10323</t>
  </si>
  <si>
    <t>ORD10324</t>
  </si>
  <si>
    <t>ORD10325</t>
  </si>
  <si>
    <t>ORD10326</t>
  </si>
  <si>
    <t>ORD10327</t>
  </si>
  <si>
    <t>ORD10328</t>
  </si>
  <si>
    <t>ORD10329</t>
  </si>
  <si>
    <t>ORD10330</t>
  </si>
  <si>
    <t>ORD10331</t>
  </si>
  <si>
    <t>ORD10332</t>
  </si>
  <si>
    <t>CUST1136</t>
  </si>
  <si>
    <t>ORD10333</t>
  </si>
  <si>
    <t>ORD10334</t>
  </si>
  <si>
    <t>ORD10335</t>
  </si>
  <si>
    <t>ORD10336</t>
  </si>
  <si>
    <t>ORD10337</t>
  </si>
  <si>
    <t>ORD10338</t>
  </si>
  <si>
    <t>ORD10339</t>
  </si>
  <si>
    <t>ORD10340</t>
  </si>
  <si>
    <t>ORD10341</t>
  </si>
  <si>
    <t>ORD10342</t>
  </si>
  <si>
    <t>ORD10343</t>
  </si>
  <si>
    <t>CUST1027</t>
  </si>
  <si>
    <t>ORD10344</t>
  </si>
  <si>
    <t>ORD10345</t>
  </si>
  <si>
    <t>ORD10346</t>
  </si>
  <si>
    <t>CUST1153</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</si>
  <si>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</si>
  <si>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</si>
  <si>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</si>
  <si>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</si>
  <si>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</si>
  <si>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</si>
  <si>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</si>
  <si>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</si>
  <si>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</si>
  <si>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</si>
  <si>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</si>
  <si>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</si>
  <si>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</si>
  <si>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</si>
  <si>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</si>
  <si>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</si>
  <si>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</si>
  <si>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</si>
  <si>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</si>
  <si>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</si>
  <si>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</si>
  <si>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</si>
  <si>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</si>
  <si>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</si>
  <si>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</si>
  <si>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</si>
  <si>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</si>
  <si>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</si>
  <si>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</si>
  <si>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</si>
  <si>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</si>
  <si>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</si>
  <si>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</si>
  <si>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</si>
  <si>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</si>
  <si>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</si>
  <si>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</si>
  <si>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CUST1162</t>
  </si>
  <si>
    <t>ORD10384</t>
  </si>
  <si>
    <t>CUST1079</t>
  </si>
  <si>
    <t>ORD10385</t>
  </si>
  <si>
    <t>ORD10386</t>
  </si>
  <si>
    <t>ORD10387</t>
  </si>
  <si>
    <t>ORD10388</t>
  </si>
  <si>
    <t>ORD10389</t>
  </si>
  <si>
    <t>ORD10390</t>
  </si>
  <si>
    <t>ORD10391</t>
  </si>
  <si>
    <t>CUST1115</t>
  </si>
  <si>
    <t>ORD10392</t>
  </si>
  <si>
    <t>ORD10393</t>
  </si>
  <si>
    <t>ORD10394</t>
  </si>
  <si>
    <t>ORD10395</t>
  </si>
  <si>
    <t>ORD10396</t>
  </si>
  <si>
    <t>CUST1030</t>
  </si>
  <si>
    <t>ORD10397</t>
  </si>
  <si>
    <t>ORD10398</t>
  </si>
  <si>
    <t>ORD10399</t>
  </si>
  <si>
    <t>ORD10400</t>
  </si>
  <si>
    <t>ORD10401</t>
  </si>
  <si>
    <t>CUST1036</t>
  </si>
  <si>
    <t>ORD10402</t>
  </si>
  <si>
    <t>ORD10403</t>
  </si>
  <si>
    <t>ORD10404</t>
  </si>
  <si>
    <t>ORD10405</t>
  </si>
  <si>
    <t>ORD10406</t>
  </si>
  <si>
    <t>ORD10407</t>
  </si>
  <si>
    <t>ORD10408</t>
  </si>
  <si>
    <t>ORD10409</t>
  </si>
  <si>
    <t>ORD10410</t>
  </si>
  <si>
    <t>CUST1077</t>
  </si>
  <si>
    <t>ORD10411</t>
  </si>
  <si>
    <t>ORD10412</t>
  </si>
  <si>
    <t>ORD10413</t>
  </si>
  <si>
    <t>ORD10414</t>
  </si>
  <si>
    <t>ORD10415</t>
  </si>
  <si>
    <t>ORD10416</t>
  </si>
  <si>
    <t>ORD10417</t>
  </si>
  <si>
    <t>ORD10418</t>
  </si>
  <si>
    <t>ORD10419</t>
  </si>
  <si>
    <t>ORD10420</t>
  </si>
  <si>
    <t>ORD10421</t>
  </si>
  <si>
    <t>ORD10422</t>
  </si>
  <si>
    <t>CUST1042</t>
  </si>
  <si>
    <t>ORD10423</t>
  </si>
  <si>
    <t>ORD10424</t>
  </si>
  <si>
    <t>ORD10425</t>
  </si>
  <si>
    <t>ORD10426</t>
  </si>
  <si>
    <t>ORD10427</t>
  </si>
  <si>
    <t>CUST1097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</si>
  <si>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</si>
  <si>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</si>
  <si>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</si>
  <si>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</si>
  <si>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</si>
  <si>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</si>
  <si>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</si>
  <si>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</si>
  <si>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</si>
  <si>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</si>
  <si>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</si>
  <si>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</si>
  <si>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</si>
  <si>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</si>
  <si>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</si>
  <si>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</si>
  <si>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</si>
  <si>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</si>
  <si>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</si>
  <si>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</si>
  <si>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</si>
  <si>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</si>
  <si>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</si>
  <si>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</si>
  <si>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</si>
  <si>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</si>
  <si>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</si>
  <si>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</si>
  <si>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</si>
  <si>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</si>
  <si>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CUST1088</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</si>
  <si>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</si>
  <si>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</si>
  <si>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</si>
  <si>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</si>
  <si>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</si>
  <si>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</si>
  <si>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</si>
  <si>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</si>
  <si>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</si>
  <si>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</si>
  <si>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</si>
  <si>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</si>
  <si>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</si>
  <si>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</si>
  <si>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</si>
  <si>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</si>
  <si>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</si>
  <si>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</si>
  <si>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</si>
  <si>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</si>
  <si>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CUST1034</t>
  </si>
  <si>
    <t>ORD10478</t>
  </si>
  <si>
    <t>ORD10479</t>
  </si>
  <si>
    <t>ORD10480</t>
  </si>
  <si>
    <t>ORD10481</t>
  </si>
  <si>
    <t>ORD10482</t>
  </si>
  <si>
    <t>ORD10483</t>
  </si>
  <si>
    <t>ORD10484</t>
  </si>
  <si>
    <t>ORD10485</t>
  </si>
  <si>
    <t>ORD10486</t>
  </si>
  <si>
    <t>CUST1045</t>
  </si>
  <si>
    <t>ORD10487</t>
  </si>
  <si>
    <t>ORD10488</t>
  </si>
  <si>
    <t>ORD10489</t>
  </si>
  <si>
    <t>ORD10490</t>
  </si>
  <si>
    <t>ORD10491</t>
  </si>
  <si>
    <t>ORD10492</t>
  </si>
  <si>
    <t>ORD10493</t>
  </si>
  <si>
    <t>ORD10494</t>
  </si>
  <si>
    <t>ORD10495</t>
  </si>
  <si>
    <t>ORD10496</t>
  </si>
  <si>
    <t>ORD10497</t>
  </si>
  <si>
    <t>ORD10498</t>
  </si>
  <si>
    <t>ORD10499</t>
  </si>
  <si>
    <t>ORD10500</t>
  </si>
  <si>
    <t>Clean Customer Name</t>
  </si>
  <si>
    <t>City cleaning</t>
  </si>
  <si>
    <t>Clean Payment Method</t>
  </si>
  <si>
    <t>Total Orders</t>
  </si>
  <si>
    <r>
      <t xml:space="preserve">: </t>
    </r>
    <r>
      <rPr>
        <b/>
        <sz val="11"/>
        <color theme="1"/>
        <rFont val="Calibri"/>
        <family val="2"/>
        <scheme val="minor"/>
      </rPr>
      <t>Cancelled Orders</t>
    </r>
  </si>
  <si>
    <t>Returned Orders</t>
  </si>
  <si>
    <t>Delivered Orders</t>
  </si>
  <si>
    <r>
      <t xml:space="preserve">: </t>
    </r>
    <r>
      <rPr>
        <b/>
        <sz val="11"/>
        <color theme="1"/>
        <rFont val="Calibri"/>
        <family val="2"/>
        <scheme val="minor"/>
      </rPr>
      <t>Total Quantity Sold</t>
    </r>
  </si>
  <si>
    <t>Sales Amount</t>
  </si>
  <si>
    <t>Total Sales</t>
  </si>
  <si>
    <t>Average Delivery Days</t>
  </si>
  <si>
    <t>Average Order Value</t>
  </si>
  <si>
    <t>category count</t>
  </si>
  <si>
    <r>
      <t xml:space="preserve">Fashion → </t>
    </r>
    <r>
      <rPr>
        <b/>
        <sz val="11"/>
        <color theme="1"/>
        <rFont val="Calibri"/>
        <family val="2"/>
        <scheme val="minor"/>
      </rPr>
      <t>131</t>
    </r>
  </si>
  <si>
    <r>
      <t xml:space="preserve">Electronics → </t>
    </r>
    <r>
      <rPr>
        <b/>
        <sz val="11"/>
        <color theme="1"/>
        <rFont val="Calibri"/>
        <family val="2"/>
        <scheme val="minor"/>
      </rPr>
      <t>129</t>
    </r>
  </si>
  <si>
    <r>
      <t xml:space="preserve">Home → </t>
    </r>
    <r>
      <rPr>
        <b/>
        <sz val="11"/>
        <color theme="1"/>
        <rFont val="Calibri"/>
        <family val="2"/>
        <scheme val="minor"/>
      </rPr>
      <t>103</t>
    </r>
  </si>
  <si>
    <r>
      <t xml:space="preserve">Beauty → </t>
    </r>
    <r>
      <rPr>
        <b/>
        <sz val="11"/>
        <color theme="1"/>
        <rFont val="Calibri"/>
        <family val="2"/>
        <scheme val="minor"/>
      </rPr>
      <t>72</t>
    </r>
  </si>
  <si>
    <r>
      <t xml:space="preserve">Grocery → </t>
    </r>
    <r>
      <rPr>
        <b/>
        <sz val="11"/>
        <color theme="1"/>
        <rFont val="Calibri"/>
        <family val="2"/>
        <scheme val="minor"/>
      </rPr>
      <t>65</t>
    </r>
  </si>
  <si>
    <t>Orders</t>
  </si>
  <si>
    <t>Total Quantity</t>
  </si>
  <si>
    <t>sum if</t>
  </si>
  <si>
    <t>City-wise Analysis</t>
  </si>
  <si>
    <t>Total</t>
  </si>
  <si>
    <t>Rate %</t>
  </si>
  <si>
    <t>Cancelled Orders</t>
  </si>
  <si>
    <t>rate</t>
  </si>
  <si>
    <t>clean order date</t>
  </si>
  <si>
    <t>Month</t>
  </si>
  <si>
    <t>Jan</t>
  </si>
  <si>
    <t>Feb</t>
  </si>
  <si>
    <t>Mar</t>
  </si>
  <si>
    <t>Apr</t>
  </si>
  <si>
    <t>May</t>
  </si>
  <si>
    <t>Jun</t>
  </si>
  <si>
    <t>Which category generates the most sales?</t>
  </si>
  <si>
    <t>Row Labels</t>
  </si>
  <si>
    <t>(blank)</t>
  </si>
  <si>
    <t>Grand Total</t>
  </si>
  <si>
    <t>Sum of Sales Amount</t>
  </si>
  <si>
    <t>Which category has the most orders?</t>
  </si>
  <si>
    <t>Count of Order ID</t>
  </si>
  <si>
    <t>“Which payment method is used most frequently by customers?”</t>
  </si>
  <si>
    <t>“What is the current order status distribution?”</t>
  </si>
  <si>
    <t>“What is the average delivery time for each category?”</t>
  </si>
  <si>
    <t>Average of Delivery Days</t>
  </si>
  <si>
    <t>Which products generate the highest sales?”</t>
  </si>
  <si>
    <t>Which cities have the highest number of orders?</t>
  </si>
  <si>
    <t>“Which cities have the highest number of orders?”</t>
  </si>
  <si>
    <t>“How do sales change month by month?”</t>
  </si>
  <si>
    <t>“How many orders were cancelled for each product?”</t>
  </si>
  <si>
    <t>(All)</t>
  </si>
  <si>
    <t>“What is the total sales by payment method?”</t>
  </si>
  <si>
    <t>E-Commerce Business Performance &amp; Insights</t>
  </si>
  <si>
    <t>• Electronics generated the highest sales with ₹51,58,708.</t>
  </si>
  <si>
    <t>KEY BUSINESS INSIGHTS</t>
  </si>
  <si>
    <t>Q1. Which category generates the most sales?</t>
  </si>
  <si>
    <t>Q2. Which month generated the highest sales?</t>
  </si>
  <si>
    <t>• May recorded the highest monthly sales with ₹12,76,404.</t>
  </si>
  <si>
    <t>Q3. Which payment method generated the highest sales?</t>
  </si>
  <si>
    <t>• UPI generated the highest sales with ₹28,21,786.</t>
  </si>
  <si>
    <t>Q4. Which product generated the highest sales?</t>
  </si>
  <si>
    <t>• Power Bank generated the highest sales with ₹14,84,263.</t>
  </si>
  <si>
    <t>Q5. Which product has the highest number of orders?</t>
  </si>
  <si>
    <t>• Power Bank had the highest number of orders with 36 orders.</t>
  </si>
  <si>
    <t>Q6. What percentage of orders were successfully delivered?</t>
  </si>
  <si>
    <t>• 89.2% of orders were successfully delivered.</t>
  </si>
  <si>
    <t>Q7. What percentage of orders were cancelled?</t>
  </si>
  <si>
    <t>• 6.6% of orders were cancelled.</t>
  </si>
  <si>
    <t>Q8. What percentage of orders were returned?</t>
  </si>
  <si>
    <t>• 4.2% of orders were returned.</t>
  </si>
  <si>
    <t>Q9. What is the total sales generated?</t>
  </si>
  <si>
    <t>• The business generated total sales of ₹60,13,944.</t>
  </si>
  <si>
    <t>Q10. How many orders were placed in total?</t>
  </si>
  <si>
    <t>• The business received 500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</si>
</sst>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5" formatCode="yyyy\-mm\-dd\ hh:mm:ss"/>
  </numFmts>
  <fonts count="16" x14ac:knownFonts="1">
    <font>
      <sz val="11"/>
      <color theme="1"/>
      <name val="Calibri"/>
      <family val="2"/>
      <scheme val="minor"/>
    </font>
    <font>
      <b/>
      <sz val="11"/>
      <name val="Calibri"/>
    </font>
    <font>
      <b/>
      <sz val="11"/>
      <color theme="0"/>
      <name val="Calibri"/>
      <family val="2"/>
      <scheme val="minor"/>
    </font>
    <font>
      <sz val="11"/>
      <color rgb="FFFF0000"/>
      <name val="Calibri"/>
      <family val="2"/>
      <scheme val="minor"/>
    </font>
    <font>
      <b/>
      <sz val="11"/>
      <color theme="1"/>
      <name val="Calibri"/>
      <family val="2"/>
      <scheme val="minor"/>
    </font>
    <font>
      <b/>
      <sz val="11"/>
      <name val="Calibri"/>
      <family val="2"/>
    </font>
    <font>
      <b/>
      <sz val="13.5"/>
      <color theme="1"/>
      <name val="Calibri"/>
      <family val="2"/>
      <scheme val="minor"/>
    </font>
    <font>
      <sz val="14"/>
      <color theme="1"/>
      <name val="Arial Black"/>
      <family val="2"/>
    </font>
    <font>
      <b/>
      <sz val="12"/>
      <color theme="1"/>
      <name val="Calibri"/>
      <family val="2"/>
      <scheme val="minor"/>
    </font>
    <font>
      <b/>
      <sz val="14"/>
      <color theme="1"/>
      <name val="Calibri"/>
      <family val="2"/>
      <scheme val="minor"/>
    </font>
    <font>
      <b/>
      <sz val="14"/>
      <color theme="1"/>
      <name val="Arial Black"/>
      <family val="2"/>
    </font>
    <font>
      <b/>
      <sz val="16"/>
      <color theme="1"/>
      <name val="Calibri"/>
      <family val="2"/>
      <scheme val="minor"/>
    </font>
    <font>
      <sz val="12"/>
      <color theme="1"/>
      <name val="Calibri"/>
      <family val="2"/>
      <scheme val="minor"/>
    </font>
    <font>
      <b/>
      <sz val="16"/>
      <color theme="0"/>
      <name val="Algerian"/>
      <family val="5"/>
    </font>
    <font>
      <b/>
      <sz val="16"/>
      <color theme="1"/>
      <name val="Algerian"/>
      <family val="5"/>
    </font>
    <font>
      <sz val="16"/>
      <color theme="1"/>
      <name val="Algerian"/>
      <family val="5"/>
    </font>
  </fonts>
  <fills count="9">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8" tint="0.39997558519241921"/>
        <bgColor indexed="64"/>
      </patternFill>
    </fill>
    <fill>
      <patternFill patternType="solid">
        <fgColor theme="9"/>
        <bgColor indexed="64"/>
      </patternFill>
    </fill>
    <fill>
      <patternFill patternType="solid">
        <fgColor theme="5"/>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165" fontId="0" fillId="0" borderId="0" xfId="0" applyNumberFormat="1"/>
    <xf numFmtId="0" fontId="4" fillId="0" borderId="0" xfId="0" applyFont="1"/>
    <xf numFmtId="0" fontId="4" fillId="2" borderId="0" xfId="0" applyFont="1" applyFill="1"/>
    <xf numFmtId="0" fontId="5" fillId="2" borderId="1" xfId="0" applyFont="1" applyFill="1" applyBorder="1" applyAlignment="1">
      <alignment horizontal="center" vertical="top"/>
    </xf>
    <xf numFmtId="0" fontId="4" fillId="3" borderId="0" xfId="0" applyFont="1" applyFill="1"/>
    <xf numFmtId="0" fontId="4" fillId="4" borderId="0" xfId="0" applyFont="1" applyFill="1"/>
    <xf numFmtId="0" fontId="5" fillId="5" borderId="1" xfId="0" applyFont="1" applyFill="1" applyBorder="1" applyAlignment="1">
      <alignment horizontal="center" vertical="top"/>
    </xf>
    <xf numFmtId="0" fontId="3" fillId="0" borderId="0" xfId="0" applyFont="1"/>
    <xf numFmtId="0" fontId="4" fillId="6" borderId="0" xfId="0" applyFont="1" applyFill="1"/>
    <xf numFmtId="0" fontId="0" fillId="0" borderId="0" xfId="0" applyFill="1"/>
    <xf numFmtId="0" fontId="0" fillId="0" borderId="0" xfId="0" applyAlignment="1">
      <alignment vertical="center" wrapText="1"/>
    </xf>
    <xf numFmtId="0" fontId="6" fillId="0" borderId="0" xfId="0" applyFont="1" applyAlignment="1">
      <alignment vertical="center"/>
    </xf>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4" fillId="0" borderId="0" xfId="0" applyFont="1" applyAlignment="1">
      <alignment vertical="center" wrapText="1"/>
    </xf>
    <xf numFmtId="6" fontId="0" fillId="0" borderId="0" xfId="0" applyNumberFormat="1" applyAlignment="1">
      <alignment horizontal="right" vertical="center" wrapText="1"/>
    </xf>
    <xf numFmtId="0" fontId="5" fillId="7" borderId="1" xfId="0" applyFont="1" applyFill="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1" fillId="0" borderId="1" xfId="0" applyFont="1" applyFill="1" applyBorder="1" applyAlignment="1">
      <alignment horizontal="center" vertical="top"/>
    </xf>
    <xf numFmtId="0" fontId="2" fillId="8" borderId="0" xfId="0" applyFont="1" applyFill="1" applyAlignment="1"/>
    <xf numFmtId="0" fontId="0" fillId="8" borderId="0" xfId="0" applyFill="1"/>
    <xf numFmtId="0" fontId="7" fillId="8" borderId="0" xfId="0" applyFont="1" applyFill="1" applyAlignment="1">
      <alignment horizontal="center"/>
    </xf>
    <xf numFmtId="0" fontId="8" fillId="8" borderId="0" xfId="0" applyFont="1" applyFill="1"/>
    <xf numFmtId="0" fontId="9" fillId="8" borderId="0" xfId="0" applyFont="1" applyFill="1"/>
    <xf numFmtId="0" fontId="10" fillId="8" borderId="0" xfId="0" applyFont="1" applyFill="1"/>
    <xf numFmtId="0" fontId="10" fillId="8" borderId="0" xfId="0" applyFont="1" applyFill="1" applyBorder="1"/>
    <xf numFmtId="0" fontId="0" fillId="8" borderId="0" xfId="0" applyFill="1" applyBorder="1"/>
    <xf numFmtId="0" fontId="11" fillId="8" borderId="0" xfId="0" applyFont="1" applyFill="1"/>
    <xf numFmtId="0" fontId="12" fillId="8" borderId="0" xfId="0" applyFont="1" applyFill="1"/>
    <xf numFmtId="0" fontId="13" fillId="8" borderId="0" xfId="0" applyFont="1" applyFill="1" applyAlignment="1">
      <alignment horizontal="left" vertical="center"/>
    </xf>
    <xf numFmtId="0" fontId="14" fillId="8" borderId="0" xfId="0" applyFont="1" applyFill="1" applyAlignment="1">
      <alignment horizontal="left" vertical="center"/>
    </xf>
    <xf numFmtId="0" fontId="15" fillId="8" borderId="0" xfId="0" applyFont="1" applyFill="1" applyAlignment="1">
      <alignment horizontal="left" vertical="center"/>
    </xf>
    <xf numFmtId="0" fontId="7" fillId="8"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'!$E$47</c:f>
              <c:strCache>
                <c:ptCount val="1"/>
                <c:pt idx="0">
                  <c:v>Total</c:v>
                </c:pt>
              </c:strCache>
            </c:strRef>
          </c:tx>
          <c:spPr>
            <a:solidFill>
              <a:schemeClr val="accent1"/>
            </a:solidFill>
            <a:ln>
              <a:noFill/>
            </a:ln>
            <a:effectLst/>
          </c:spPr>
          <c:invertIfNegative val="0"/>
          <c:cat>
            <c:strRef>
              <c:f>'pivot '!$D$48:$D$56</c:f>
              <c:strCache>
                <c:ptCount val="9"/>
                <c:pt idx="0">
                  <c:v>Chandigarh</c:v>
                </c:pt>
                <c:pt idx="1">
                  <c:v>Delhi</c:v>
                </c:pt>
                <c:pt idx="2">
                  <c:v>Faridabad</c:v>
                </c:pt>
                <c:pt idx="3">
                  <c:v>Ghaziabad</c:v>
                </c:pt>
                <c:pt idx="4">
                  <c:v>Gurugram</c:v>
                </c:pt>
                <c:pt idx="5">
                  <c:v>Jaipur</c:v>
                </c:pt>
                <c:pt idx="6">
                  <c:v>Lucknow</c:v>
                </c:pt>
                <c:pt idx="7">
                  <c:v>Noida</c:v>
                </c:pt>
                <c:pt idx="8">
                  <c:v>(blank)</c:v>
                </c:pt>
              </c:strCache>
            </c:strRef>
          </c:cat>
          <c:val>
            <c:numRef>
              <c:f>'pivot '!$E$48:$E$56</c:f>
              <c:numCache>
                <c:formatCode>General</c:formatCode>
                <c:ptCount val="9"/>
                <c:pt idx="0">
                  <c:v>44</c:v>
                </c:pt>
                <c:pt idx="1">
                  <c:v>99</c:v>
                </c:pt>
                <c:pt idx="2">
                  <c:v>43</c:v>
                </c:pt>
                <c:pt idx="3">
                  <c:v>54</c:v>
                </c:pt>
                <c:pt idx="4">
                  <c:v>76</c:v>
                </c:pt>
                <c:pt idx="5">
                  <c:v>45</c:v>
                </c:pt>
                <c:pt idx="6">
                  <c:v>55</c:v>
                </c:pt>
                <c:pt idx="7">
                  <c:v>84</c:v>
                </c:pt>
              </c:numCache>
            </c:numRef>
          </c:val>
          <c:extLst>
            <c:ext xmlns:c16="http://schemas.microsoft.com/office/drawing/2014/chart" uri="{C3380CC4-5D6E-409C-BE32-E72D297353CC}">
              <c16:uniqueId val="{00000005-D5D3-449F-B41A-3BCE7204342A}"/>
            </c:ext>
          </c:extLst>
        </c:ser>
        <c:dLbls>
          <c:showLegendKey val="0"/>
          <c:showVal val="0"/>
          <c:showCatName val="0"/>
          <c:showSerName val="0"/>
          <c:showPercent val="0"/>
          <c:showBubbleSize val="0"/>
        </c:dLbls>
        <c:gapWidth val="219"/>
        <c:overlap val="-27"/>
        <c:axId val="2016613151"/>
        <c:axId val="2017423503"/>
      </c:barChart>
      <c:catAx>
        <c:axId val="20166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23503"/>
        <c:crosses val="autoZero"/>
        <c:auto val="1"/>
        <c:lblAlgn val="ctr"/>
        <c:lblOffset val="100"/>
        <c:noMultiLvlLbl val="0"/>
      </c:catAx>
      <c:valAx>
        <c:axId val="201742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'!$B$3</c:f>
              <c:strCache>
                <c:ptCount val="1"/>
                <c:pt idx="0">
                  <c:v>Total</c:v>
                </c:pt>
              </c:strCache>
            </c:strRef>
          </c:tx>
          <c:spPr>
            <a:solidFill>
              <a:schemeClr val="accent1"/>
            </a:solidFill>
            <a:ln>
              <a:noFill/>
            </a:ln>
            <a:effectLst/>
          </c:spPr>
          <c:invertIfNegative val="0"/>
          <c:cat>
            <c:strRef>
              <c:f>'pivot '!$A$4:$A$9</c:f>
              <c:strCache>
                <c:ptCount val="6"/>
                <c:pt idx="0">
                  <c:v>Beauty</c:v>
                </c:pt>
                <c:pt idx="1">
                  <c:v>Electronics</c:v>
                </c:pt>
                <c:pt idx="2">
                  <c:v>Fashion</c:v>
                </c:pt>
                <c:pt idx="3">
                  <c:v>Grocery</c:v>
                </c:pt>
                <c:pt idx="4">
                  <c:v>Home</c:v>
                </c:pt>
                <c:pt idx="5">
                  <c:v>(blank)</c:v>
                </c:pt>
              </c:strCache>
            </c:strRef>
          </c:cat>
          <c:val>
            <c:numRef>
              <c:f>'pivot '!$B$4:$B$9</c:f>
              <c:numCache>
                <c:formatCode>General</c:formatCode>
                <c:ptCount val="6"/>
                <c:pt idx="0">
                  <c:v>102602</c:v>
                </c:pt>
                <c:pt idx="1">
                  <c:v>5158708</c:v>
                </c:pt>
                <c:pt idx="2">
                  <c:v>435300</c:v>
                </c:pt>
                <c:pt idx="3">
                  <c:v>98100</c:v>
                </c:pt>
                <c:pt idx="4">
                  <c:v>219234</c:v>
                </c:pt>
              </c:numCache>
            </c:numRef>
          </c:val>
          <c:extLst>
            <c:ext xmlns:c16="http://schemas.microsoft.com/office/drawing/2014/chart" uri="{C3380CC4-5D6E-409C-BE32-E72D297353CC}">
              <c16:uniqueId val="{00000000-326C-4FBD-A0F1-040772B3D445}"/>
            </c:ext>
          </c:extLst>
        </c:ser>
        <c:dLbls>
          <c:showLegendKey val="0"/>
          <c:showVal val="0"/>
          <c:showCatName val="0"/>
          <c:showSerName val="0"/>
          <c:showPercent val="0"/>
          <c:showBubbleSize val="0"/>
        </c:dLbls>
        <c:gapWidth val="150"/>
        <c:overlap val="100"/>
        <c:axId val="133090879"/>
        <c:axId val="1740226575"/>
      </c:barChart>
      <c:catAx>
        <c:axId val="13309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26575"/>
        <c:crosses val="autoZero"/>
        <c:auto val="1"/>
        <c:lblAlgn val="ctr"/>
        <c:lblOffset val="100"/>
        <c:noMultiLvlLbl val="0"/>
      </c:catAx>
      <c:valAx>
        <c:axId val="174022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0205488170796"/>
          <c:y val="0.23087744240303296"/>
          <c:w val="0.63668808640299268"/>
          <c:h val="0.53774387576552929"/>
        </c:manualLayout>
      </c:layout>
      <c:lineChart>
        <c:grouping val="standard"/>
        <c:varyColors val="0"/>
        <c:ser>
          <c:idx val="0"/>
          <c:order val="0"/>
          <c:tx>
            <c:strRef>
              <c:f>'pivot '!$E$77</c:f>
              <c:strCache>
                <c:ptCount val="1"/>
                <c:pt idx="0">
                  <c:v>Total</c:v>
                </c:pt>
              </c:strCache>
            </c:strRef>
          </c:tx>
          <c:spPr>
            <a:ln w="28575" cap="rnd">
              <a:solidFill>
                <a:schemeClr val="accent1"/>
              </a:solidFill>
              <a:round/>
            </a:ln>
            <a:effectLst/>
          </c:spPr>
          <c:marker>
            <c:symbol val="none"/>
          </c:marker>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'!$D$78:$D$83</c:f>
              <c:strCache>
                <c:ptCount val="6"/>
                <c:pt idx="0">
                  <c:v>Jan</c:v>
                </c:pt>
                <c:pt idx="1">
                  <c:v>Feb</c:v>
                </c:pt>
                <c:pt idx="2">
                  <c:v>Mar</c:v>
                </c:pt>
                <c:pt idx="3">
                  <c:v>Apr</c:v>
                </c:pt>
                <c:pt idx="4">
                  <c:v>May</c:v>
                </c:pt>
                <c:pt idx="5">
                  <c:v>Jun</c:v>
                </c:pt>
              </c:strCache>
            </c:strRef>
          </c:cat>
          <c:val>
            <c:numRef>
              <c:f>'pivot '!$E$78:$E$83</c:f>
              <c:numCache>
                <c:formatCode>General</c:formatCode>
                <c:ptCount val="6"/>
                <c:pt idx="0">
                  <c:v>715402</c:v>
                </c:pt>
                <c:pt idx="1">
                  <c:v>965237</c:v>
                </c:pt>
                <c:pt idx="2">
                  <c:v>1107093</c:v>
                </c:pt>
                <c:pt idx="3">
                  <c:v>910743</c:v>
                </c:pt>
                <c:pt idx="4">
                  <c:v>1276404</c:v>
                </c:pt>
                <c:pt idx="5">
                  <c:v>1039065</c:v>
                </c:pt>
              </c:numCache>
            </c:numRef>
          </c:val>
          <c:smooth val="0"/>
          <c:extLst>
            <c:ext xmlns:c16="http://schemas.microsoft.com/office/drawing/2014/chart" uri="{C3380CC4-5D6E-409C-BE32-E72D297353CC}">
              <c16:uniqueId val="{0000000A-C3E6-49C2-A18F-A1EC49063B31}"/>
            </c:ext>
          </c:extLst>
        </c:ser>
        <c:dLbls>
          <c:dLblPos val="t"/>
          <c:showLegendKey val="0"/>
          <c:showVal val="1"/>
          <c:showCatName val="0"/>
          <c:showSerName val="0"/>
          <c:showPercent val="0"/>
          <c:showBubbleSize val="0"/>
        </c:dLbls>
        <c:smooth val="0"/>
        <c:axId val="2025318303"/>
        <c:axId val="1728186127"/>
      </c:lineChart>
      <c:catAx>
        <c:axId val="2025318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86127"/>
        <c:crosses val="autoZero"/>
        <c:auto val="1"/>
        <c:lblAlgn val="ctr"/>
        <c:lblOffset val="100"/>
        <c:noMultiLvlLbl val="0"/>
      </c:catAx>
      <c:valAx>
        <c:axId val="1728186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3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5 Products by Sales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'!$A$4:$A$9</c:f>
              <c:strCache>
                <c:ptCount val="6"/>
                <c:pt idx="0">
                  <c:v>Beauty</c:v>
                </c:pt>
                <c:pt idx="1">
                  <c:v>Electronics</c:v>
                </c:pt>
                <c:pt idx="2">
                  <c:v>Fashion</c:v>
                </c:pt>
                <c:pt idx="3">
                  <c:v>Grocery</c:v>
                </c:pt>
                <c:pt idx="4">
                  <c:v>Home</c:v>
                </c:pt>
                <c:pt idx="5">
                  <c:v>(blank)</c:v>
                </c:pt>
              </c:strCache>
            </c:strRef>
          </c:cat>
          <c:val>
            <c:numRef>
              <c:f>'pivot '!$B$4:$B$9</c:f>
              <c:numCache>
                <c:formatCode>General</c:formatCode>
                <c:ptCount val="6"/>
                <c:pt idx="0">
                  <c:v>102602</c:v>
                </c:pt>
                <c:pt idx="1">
                  <c:v>5158708</c:v>
                </c:pt>
                <c:pt idx="2">
                  <c:v>435300</c:v>
                </c:pt>
                <c:pt idx="3">
                  <c:v>98100</c:v>
                </c:pt>
                <c:pt idx="4">
                  <c:v>219234</c:v>
                </c:pt>
              </c:numCache>
            </c:numRef>
          </c:val>
          <c:extLst>
            <c:ext xmlns:c16="http://schemas.microsoft.com/office/drawing/2014/chart" uri="{C3380CC4-5D6E-409C-BE32-E72D297353CC}">
              <c16:uniqueId val="{00000005-3B3B-4D25-BCAE-E7DFC6FE0577}"/>
            </c:ext>
          </c:extLst>
        </c:ser>
        <c:dLbls>
          <c:dLblPos val="outEnd"/>
          <c:showLegendKey val="0"/>
          <c:showVal val="1"/>
          <c:showCatName val="0"/>
          <c:showSerName val="0"/>
          <c:showPercent val="0"/>
          <c:showBubbleSize val="0"/>
        </c:dLbls>
        <c:gapWidth val="219"/>
        <c:overlap val="-27"/>
        <c:axId val="1960410943"/>
        <c:axId val="1740216975"/>
      </c:barChart>
      <c:catAx>
        <c:axId val="196041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16975"/>
        <c:crosses val="autoZero"/>
        <c:auto val="1"/>
        <c:lblAlgn val="ctr"/>
        <c:lblOffset val="100"/>
        <c:noMultiLvlLbl val="0"/>
      </c:catAx>
      <c:valAx>
        <c:axId val="1740216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1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Order Status Distribution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'!$B$37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'!$A$38:$A$41</c:f>
              <c:strCache>
                <c:ptCount val="4"/>
                <c:pt idx="0">
                  <c:v>Cancelled</c:v>
                </c:pt>
                <c:pt idx="1">
                  <c:v>Delivered</c:v>
                </c:pt>
                <c:pt idx="2">
                  <c:v>Returned</c:v>
                </c:pt>
                <c:pt idx="3">
                  <c:v>(blank)</c:v>
                </c:pt>
              </c:strCache>
            </c:strRef>
          </c:cat>
          <c:val>
            <c:numRef>
              <c:f>'pivot '!$B$38:$B$41</c:f>
              <c:numCache>
                <c:formatCode>General</c:formatCode>
                <c:ptCount val="4"/>
                <c:pt idx="0">
                  <c:v>33</c:v>
                </c:pt>
                <c:pt idx="1">
                  <c:v>446</c:v>
                </c:pt>
                <c:pt idx="2">
                  <c:v>21</c:v>
                </c:pt>
              </c:numCache>
            </c:numRef>
          </c:val>
          <c:extLst>
            <c:ext xmlns:c16="http://schemas.microsoft.com/office/drawing/2014/chart" uri="{C3380CC4-5D6E-409C-BE32-E72D297353CC}">
              <c16:uniqueId val="{00000009-C3DD-4714-B1AB-AFBBAA88F1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!PivotTable15</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Sales by Payment Method</a:t>
            </a:r>
            <a:endParaRPr lang="en-US" sz="1400" b="1"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'!$H$36</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'!$G$37:$G$41</c:f>
              <c:strCache>
                <c:ptCount val="5"/>
                <c:pt idx="0">
                  <c:v>Card</c:v>
                </c:pt>
                <c:pt idx="1">
                  <c:v>COD</c:v>
                </c:pt>
                <c:pt idx="2">
                  <c:v>Net Banking</c:v>
                </c:pt>
                <c:pt idx="3">
                  <c:v>UPI</c:v>
                </c:pt>
                <c:pt idx="4">
                  <c:v>(blank)</c:v>
                </c:pt>
              </c:strCache>
            </c:strRef>
          </c:cat>
          <c:val>
            <c:numRef>
              <c:f>'pivot '!$H$37:$H$41</c:f>
              <c:numCache>
                <c:formatCode>General</c:formatCode>
                <c:ptCount val="5"/>
                <c:pt idx="0">
                  <c:v>1419039</c:v>
                </c:pt>
                <c:pt idx="1">
                  <c:v>1300229</c:v>
                </c:pt>
                <c:pt idx="2">
                  <c:v>472890</c:v>
                </c:pt>
                <c:pt idx="3">
                  <c:v>2821786</c:v>
                </c:pt>
              </c:numCache>
            </c:numRef>
          </c:val>
          <c:extLst>
            <c:ext xmlns:c16="http://schemas.microsoft.com/office/drawing/2014/chart" uri="{C3380CC4-5D6E-409C-BE32-E72D297353CC}">
              <c16:uniqueId val="{00000005-0625-4F06-ABB1-0EC31C90937F}"/>
            </c:ext>
          </c:extLst>
        </c:ser>
        <c:dLbls>
          <c:dLblPos val="outEnd"/>
          <c:showLegendKey val="0"/>
          <c:showVal val="1"/>
          <c:showCatName val="0"/>
          <c:showSerName val="0"/>
          <c:showPercent val="0"/>
          <c:showBubbleSize val="0"/>
        </c:dLbls>
        <c:gapWidth val="219"/>
        <c:overlap val="-27"/>
        <c:axId val="2016580207"/>
        <c:axId val="1740224655"/>
      </c:barChart>
      <c:catAx>
        <c:axId val="201658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24655"/>
        <c:crosses val="autoZero"/>
        <c:auto val="1"/>
        <c:lblAlgn val="ctr"/>
        <c:lblOffset val="100"/>
        <c:noMultiLvlLbl val="0"/>
      </c:catAx>
      <c:valAx>
        <c:axId val="1740224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58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City-wise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'!$E$47</c:f>
              <c:strCache>
                <c:ptCount val="1"/>
                <c:pt idx="0">
                  <c:v>Total</c:v>
                </c:pt>
              </c:strCache>
            </c:strRef>
          </c:tx>
          <c:spPr>
            <a:solidFill>
              <a:schemeClr val="accent1"/>
            </a:solidFill>
            <a:ln>
              <a:noFill/>
            </a:ln>
            <a:effectLst/>
          </c:spPr>
          <c:invertIfNegative val="0"/>
          <c:cat>
            <c:strRef>
              <c:f>'pivot '!$D$48:$D$56</c:f>
              <c:strCache>
                <c:ptCount val="9"/>
                <c:pt idx="0">
                  <c:v>Chandigarh</c:v>
                </c:pt>
                <c:pt idx="1">
                  <c:v>Delhi</c:v>
                </c:pt>
                <c:pt idx="2">
                  <c:v>Faridabad</c:v>
                </c:pt>
                <c:pt idx="3">
                  <c:v>Ghaziabad</c:v>
                </c:pt>
                <c:pt idx="4">
                  <c:v>Gurugram</c:v>
                </c:pt>
                <c:pt idx="5">
                  <c:v>Jaipur</c:v>
                </c:pt>
                <c:pt idx="6">
                  <c:v>Lucknow</c:v>
                </c:pt>
                <c:pt idx="7">
                  <c:v>Noida</c:v>
                </c:pt>
                <c:pt idx="8">
                  <c:v>(blank)</c:v>
                </c:pt>
              </c:strCache>
            </c:strRef>
          </c:cat>
          <c:val>
            <c:numRef>
              <c:f>'pivot '!$E$48:$E$56</c:f>
              <c:numCache>
                <c:formatCode>General</c:formatCode>
                <c:ptCount val="9"/>
                <c:pt idx="0">
                  <c:v>44</c:v>
                </c:pt>
                <c:pt idx="1">
                  <c:v>99</c:v>
                </c:pt>
                <c:pt idx="2">
                  <c:v>43</c:v>
                </c:pt>
                <c:pt idx="3">
                  <c:v>54</c:v>
                </c:pt>
                <c:pt idx="4">
                  <c:v>76</c:v>
                </c:pt>
                <c:pt idx="5">
                  <c:v>45</c:v>
                </c:pt>
                <c:pt idx="6">
                  <c:v>55</c:v>
                </c:pt>
                <c:pt idx="7">
                  <c:v>84</c:v>
                </c:pt>
              </c:numCache>
            </c:numRef>
          </c:val>
          <c:extLst>
            <c:ext xmlns:c16="http://schemas.microsoft.com/office/drawing/2014/chart" uri="{C3380CC4-5D6E-409C-BE32-E72D297353CC}">
              <c16:uniqueId val="{00000005-83DD-4EE8-85C6-FF2BF869A050}"/>
            </c:ext>
          </c:extLst>
        </c:ser>
        <c:dLbls>
          <c:showLegendKey val="0"/>
          <c:showVal val="0"/>
          <c:showCatName val="0"/>
          <c:showSerName val="0"/>
          <c:showPercent val="0"/>
          <c:showBubbleSize val="0"/>
        </c:dLbls>
        <c:gapWidth val="219"/>
        <c:overlap val="-27"/>
        <c:axId val="2016613151"/>
        <c:axId val="2017423503"/>
      </c:barChart>
      <c:catAx>
        <c:axId val="20166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23503"/>
        <c:crosses val="autoZero"/>
        <c:auto val="1"/>
        <c:lblAlgn val="ctr"/>
        <c:lblOffset val="100"/>
        <c:noMultiLvlLbl val="0"/>
      </c:catAx>
      <c:valAx>
        <c:axId val="2017423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61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[Ecommerce_Business_Performance_Dashboard.xlsx]pivot !PivotTable1</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Category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'!$B$3</c:f>
              <c:strCache>
                <c:ptCount val="1"/>
                <c:pt idx="0">
                  <c:v>Total</c:v>
                </c:pt>
              </c:strCache>
            </c:strRef>
          </c:tx>
          <c:spPr>
            <a:solidFill>
              <a:schemeClr val="accent1"/>
            </a:solidFill>
            <a:ln>
              <a:noFill/>
            </a:ln>
            <a:effectLst/>
          </c:spPr>
          <c:invertIfNegative val="0"/>
          <c:cat>
            <c:strRef>
              <c:f>'pivot '!$A$4:$A$9</c:f>
              <c:strCache>
                <c:ptCount val="6"/>
                <c:pt idx="0">
                  <c:v>Beauty</c:v>
                </c:pt>
                <c:pt idx="1">
                  <c:v>Electronics</c:v>
                </c:pt>
                <c:pt idx="2">
                  <c:v>Fashion</c:v>
                </c:pt>
                <c:pt idx="3">
                  <c:v>Grocery</c:v>
                </c:pt>
                <c:pt idx="4">
                  <c:v>Home</c:v>
                </c:pt>
                <c:pt idx="5">
                  <c:v>(blank)</c:v>
                </c:pt>
              </c:strCache>
            </c:strRef>
          </c:cat>
          <c:val>
            <c:numRef>
              <c:f>'pivot '!$B$4:$B$9</c:f>
              <c:numCache>
                <c:formatCode>General</c:formatCode>
                <c:ptCount val="6"/>
                <c:pt idx="0">
                  <c:v>102602</c:v>
                </c:pt>
                <c:pt idx="1">
                  <c:v>5158708</c:v>
                </c:pt>
                <c:pt idx="2">
                  <c:v>435300</c:v>
                </c:pt>
                <c:pt idx="3">
                  <c:v>98100</c:v>
                </c:pt>
                <c:pt idx="4">
                  <c:v>219234</c:v>
                </c:pt>
              </c:numCache>
            </c:numRef>
          </c:val>
          <c:extLst>
            <c:ext xmlns:c16="http://schemas.microsoft.com/office/drawing/2014/chart" uri="{C3380CC4-5D6E-409C-BE32-E72D297353CC}">
              <c16:uniqueId val="{00000000-F439-4D97-9D28-DF689F41D9B6}"/>
            </c:ext>
          </c:extLst>
        </c:ser>
        <c:dLbls>
          <c:showLegendKey val="0"/>
          <c:showVal val="0"/>
          <c:showCatName val="0"/>
          <c:showSerName val="0"/>
          <c:showPercent val="0"/>
          <c:showBubbleSize val="0"/>
        </c:dLbls>
        <c:gapWidth val="150"/>
        <c:overlap val="100"/>
        <c:axId val="133090879"/>
        <c:axId val="1740226575"/>
      </c:barChart>
      <c:catAx>
        <c:axId val="13309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226575"/>
        <c:crosses val="autoZero"/>
        <c:auto val="1"/>
        <c:lblAlgn val="ctr"/>
        <c:lblOffset val="100"/>
        <c:noMultiLvlLbl val="0"/>
      </c:catAx>
      <c:valAx>
        <c:axId val="1740226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464820</xdr:colOff>
      <xdr:row>40</xdr:row>
      <xdr:rowOff>53340</xdr:rowOff>
    </xdr:from>
    <xdr:to>
      <xdr:col>12</xdr:col>
      <xdr:colOff>419100</xdr:colOff>
      <xdr:row>55</xdr:row>
      <xdr:rowOff>53340</xdr:rowOff>
    </xdr:to>
    <xdr:graphicFrame macro="">
      <xdr:nvGraphicFramePr>
        <xdr:cNvPr id="13" name="Chart 12">
          <a:extLst>
            <a:ext uri="{FF2B5EF4-FFF2-40B4-BE49-F238E27FC236}">
              <a16:creationId xmlns:a16="http://schemas.microsoft.com/office/drawing/2014/main" id="{00A35749-BD19-E862-4C6A-3AA138C35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1059180</xdr:colOff>
      <xdr:row>6</xdr:row>
      <xdr:rowOff>45720</xdr:rowOff>
    </xdr:from>
    <xdr:to>
      <xdr:col>7</xdr:col>
      <xdr:colOff>1242060</xdr:colOff>
      <xdr:row>21</xdr:row>
      <xdr:rowOff>45720</xdr:rowOff>
    </xdr:to>
    <xdr:graphicFrame macro="">
      <xdr:nvGraphicFramePr>
        <xdr:cNvPr id="15" name="Chart 14">
          <a:extLst>
            <a:ext uri="{FF2B5EF4-FFF2-40B4-BE49-F238E27FC236}">
              <a16:creationId xmlns:a16="http://schemas.microsoft.com/office/drawing/2014/main" id="{80F76083-1046-1C10-13DA-A5CABCB70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11</xdr:row>
      <xdr:rowOff>175260</xdr:rowOff>
    </xdr:from>
    <xdr:to>
      <xdr:col>14</xdr:col>
      <xdr:colOff>236220</xdr:colOff>
      <xdr:row>24</xdr:row>
      <xdr:rowOff>0</xdr:rowOff>
    </xdr:to>
    <xdr:graphicFrame macro="">
      <xdr:nvGraphicFramePr>
        <xdr:cNvPr id="2" name="Chart 1">
          <a:extLst>
            <a:ext uri="{FF2B5EF4-FFF2-40B4-BE49-F238E27FC236}">
              <a16:creationId xmlns:a16="http://schemas.microsoft.com/office/drawing/2014/main" id="{BF3A416E-EBB5-4569-9F55-D8C5A7A23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579120</xdr:colOff>
      <xdr:row>39</xdr:row>
      <xdr:rowOff>15240</xdr:rowOff>
    </xdr:from>
    <xdr:to>
      <xdr:col>14</xdr:col>
      <xdr:colOff>181920</xdr:colOff>
      <xdr:row>50</xdr:row>
      <xdr:rowOff>52256</xdr:rowOff>
    </xdr:to>
    <xdr:graphicFrame macro="">
      <xdr:nvGraphicFramePr>
        <xdr:cNvPr id="4" name="Chart 3">
          <a:extLst>
            <a:ext uri="{FF2B5EF4-FFF2-40B4-BE49-F238E27FC236}">
              <a16:creationId xmlns:a16="http://schemas.microsoft.com/office/drawing/2014/main" id="{CCCD7B26-3590-4DD0-9B07-110CBF179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39272</xdr:colOff>
      <xdr:row>24</xdr:row>
      <xdr:rowOff>128954</xdr:rowOff>
    </xdr:from>
    <xdr:to>
      <xdr:col>22</xdr:col>
      <xdr:colOff>603272</xdr:colOff>
      <xdr:row>36</xdr:row>
      <xdr:rowOff>185723</xdr:rowOff>
    </xdr:to>
    <xdr:graphicFrame macro="">
      <xdr:nvGraphicFramePr>
        <xdr:cNvPr id="5" name="Chart 4">
          <a:extLst>
            <a:ext uri="{FF2B5EF4-FFF2-40B4-BE49-F238E27FC236}">
              <a16:creationId xmlns:a16="http://schemas.microsoft.com/office/drawing/2014/main" id="{3C51394C-893D-4CC3-B87B-86FCFE781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xdr:colOff>
      <xdr:row>6</xdr:row>
      <xdr:rowOff>30480</xdr:rowOff>
    </xdr:from>
    <xdr:to>
      <xdr:col>7</xdr:col>
      <xdr:colOff>58140</xdr:colOff>
      <xdr:row>9</xdr:row>
      <xdr:rowOff>21840</xdr:rowOff>
    </xdr:to>
    <xdr:sp macro="" textlink="">
      <xdr:nvSpPr>
        <xdr:cNvPr id="9" name="Rectangle 8">
          <a:extLst>
            <a:ext uri="{FF2B5EF4-FFF2-40B4-BE49-F238E27FC236}">
              <a16:creationId xmlns:a16="http://schemas.microsoft.com/office/drawing/2014/main" id="{2B7059A2-507C-3799-80C3-6E2E19248359}"/>
            </a:ext>
          </a:extLst>
        </xdr:cNvPr>
        <xdr:cNvSpPr/>
      </xdr:nvSpPr>
      <xdr:spPr>
        <a:xfrm>
          <a:off x="3101340" y="1211580"/>
          <a:ext cx="1224000" cy="5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TOTAL SALES</a:t>
          </a:r>
          <a:br>
            <a:rPr lang="en-IN"/>
          </a:br>
          <a:r>
            <a:rPr lang="en-IN" sz="1600" b="1"/>
            <a:t>₹60,13,944</a:t>
          </a:r>
          <a:endParaRPr lang="en-IN" sz="1100"/>
        </a:p>
      </xdr:txBody>
    </xdr:sp>
    <xdr:clientData/>
  </xdr:twoCellAnchor>
  <xdr:twoCellAnchor>
    <xdr:from>
      <xdr:col>7</xdr:col>
      <xdr:colOff>556260</xdr:colOff>
      <xdr:row>6</xdr:row>
      <xdr:rowOff>38100</xdr:rowOff>
    </xdr:from>
    <xdr:to>
      <xdr:col>9</xdr:col>
      <xdr:colOff>561060</xdr:colOff>
      <xdr:row>9</xdr:row>
      <xdr:rowOff>29460</xdr:rowOff>
    </xdr:to>
    <xdr:sp macro="" textlink="">
      <xdr:nvSpPr>
        <xdr:cNvPr id="11" name="Rectangle 10">
          <a:extLst>
            <a:ext uri="{FF2B5EF4-FFF2-40B4-BE49-F238E27FC236}">
              <a16:creationId xmlns:a16="http://schemas.microsoft.com/office/drawing/2014/main" id="{A978A36D-46C5-4484-AFF8-1AC67C59EF53}"/>
            </a:ext>
          </a:extLst>
        </xdr:cNvPr>
        <xdr:cNvSpPr/>
      </xdr:nvSpPr>
      <xdr:spPr>
        <a:xfrm>
          <a:off x="4823460" y="1219200"/>
          <a:ext cx="1224000" cy="5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TOTAL ORDERS</a:t>
          </a:r>
          <a:br>
            <a:rPr lang="en-IN"/>
          </a:br>
          <a:r>
            <a:rPr lang="en-IN" sz="1600" b="1"/>
            <a:t>500</a:t>
          </a:r>
          <a:endParaRPr lang="en-IN" sz="1100"/>
        </a:p>
      </xdr:txBody>
    </xdr:sp>
    <xdr:clientData/>
  </xdr:twoCellAnchor>
  <xdr:twoCellAnchor>
    <xdr:from>
      <xdr:col>10</xdr:col>
      <xdr:colOff>358140</xdr:colOff>
      <xdr:row>6</xdr:row>
      <xdr:rowOff>22860</xdr:rowOff>
    </xdr:from>
    <xdr:to>
      <xdr:col>12</xdr:col>
      <xdr:colOff>362940</xdr:colOff>
      <xdr:row>9</xdr:row>
      <xdr:rowOff>14220</xdr:rowOff>
    </xdr:to>
    <xdr:sp macro="" textlink="">
      <xdr:nvSpPr>
        <xdr:cNvPr id="12" name="Rectangle 11">
          <a:extLst>
            <a:ext uri="{FF2B5EF4-FFF2-40B4-BE49-F238E27FC236}">
              <a16:creationId xmlns:a16="http://schemas.microsoft.com/office/drawing/2014/main" id="{5AD070D8-736E-4082-9263-E2C9F5DB48F1}"/>
            </a:ext>
          </a:extLst>
        </xdr:cNvPr>
        <xdr:cNvSpPr/>
      </xdr:nvSpPr>
      <xdr:spPr>
        <a:xfrm>
          <a:off x="6454140" y="1203960"/>
          <a:ext cx="1224000" cy="5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TOTAL QUANTITY</a:t>
          </a:r>
          <a:br>
            <a:rPr lang="en-IN"/>
          </a:br>
          <a:r>
            <a:rPr lang="en-IN" sz="1600" b="1"/>
            <a:t>750</a:t>
          </a:r>
          <a:endParaRPr lang="en-IN" sz="1100"/>
        </a:p>
      </xdr:txBody>
    </xdr:sp>
    <xdr:clientData/>
  </xdr:twoCellAnchor>
  <xdr:twoCellAnchor>
    <xdr:from>
      <xdr:col>13</xdr:col>
      <xdr:colOff>228600</xdr:colOff>
      <xdr:row>6</xdr:row>
      <xdr:rowOff>22860</xdr:rowOff>
    </xdr:from>
    <xdr:to>
      <xdr:col>15</xdr:col>
      <xdr:colOff>233400</xdr:colOff>
      <xdr:row>9</xdr:row>
      <xdr:rowOff>14220</xdr:rowOff>
    </xdr:to>
    <xdr:sp macro="" textlink="">
      <xdr:nvSpPr>
        <xdr:cNvPr id="13" name="Rectangle 12">
          <a:extLst>
            <a:ext uri="{FF2B5EF4-FFF2-40B4-BE49-F238E27FC236}">
              <a16:creationId xmlns:a16="http://schemas.microsoft.com/office/drawing/2014/main" id="{5F53EEAE-43DA-4ACA-BCB9-8C7492E2535A}"/>
            </a:ext>
          </a:extLst>
        </xdr:cNvPr>
        <xdr:cNvSpPr/>
      </xdr:nvSpPr>
      <xdr:spPr>
        <a:xfrm>
          <a:off x="8153400" y="1203960"/>
          <a:ext cx="1224000" cy="5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DELIVERED %</a:t>
          </a:r>
          <a:br>
            <a:rPr lang="en-IN"/>
          </a:br>
          <a:r>
            <a:rPr lang="en-IN" sz="1600" b="1"/>
            <a:t>89.2%</a:t>
          </a:r>
          <a:endParaRPr lang="en-IN" sz="1100"/>
        </a:p>
      </xdr:txBody>
    </xdr:sp>
    <xdr:clientData/>
  </xdr:twoCellAnchor>
  <xdr:twoCellAnchor>
    <xdr:from>
      <xdr:col>19</xdr:col>
      <xdr:colOff>190500</xdr:colOff>
      <xdr:row>6</xdr:row>
      <xdr:rowOff>7620</xdr:rowOff>
    </xdr:from>
    <xdr:to>
      <xdr:col>21</xdr:col>
      <xdr:colOff>195300</xdr:colOff>
      <xdr:row>8</xdr:row>
      <xdr:rowOff>186882</xdr:rowOff>
    </xdr:to>
    <xdr:sp macro="" textlink="">
      <xdr:nvSpPr>
        <xdr:cNvPr id="24" name="Rectangle 23">
          <a:extLst>
            <a:ext uri="{FF2B5EF4-FFF2-40B4-BE49-F238E27FC236}">
              <a16:creationId xmlns:a16="http://schemas.microsoft.com/office/drawing/2014/main" id="{89EA6113-A6D1-4256-8EE9-84C0FDFAA1A7}"/>
            </a:ext>
          </a:extLst>
        </xdr:cNvPr>
        <xdr:cNvSpPr/>
      </xdr:nvSpPr>
      <xdr:spPr>
        <a:xfrm>
          <a:off x="11772900" y="1320605"/>
          <a:ext cx="1224000" cy="55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RETURNED %</a:t>
          </a:r>
        </a:p>
        <a:p>
          <a:pPr algn="l"/>
          <a:r>
            <a:rPr lang="en-IN" sz="1600" b="1"/>
            <a:t>4.2%</a:t>
          </a:r>
        </a:p>
      </xdr:txBody>
    </xdr:sp>
    <xdr:clientData/>
  </xdr:twoCellAnchor>
  <xdr:twoCellAnchor>
    <xdr:from>
      <xdr:col>16</xdr:col>
      <xdr:colOff>224790</xdr:colOff>
      <xdr:row>6</xdr:row>
      <xdr:rowOff>22860</xdr:rowOff>
    </xdr:from>
    <xdr:to>
      <xdr:col>18</xdr:col>
      <xdr:colOff>229590</xdr:colOff>
      <xdr:row>9</xdr:row>
      <xdr:rowOff>14220</xdr:rowOff>
    </xdr:to>
    <xdr:sp macro="" textlink="">
      <xdr:nvSpPr>
        <xdr:cNvPr id="26" name="Rectangle 25">
          <a:extLst>
            <a:ext uri="{FF2B5EF4-FFF2-40B4-BE49-F238E27FC236}">
              <a16:creationId xmlns:a16="http://schemas.microsoft.com/office/drawing/2014/main" id="{7CA6A3E4-AB49-4BCF-8284-E0B3B8EA041B}"/>
            </a:ext>
          </a:extLst>
        </xdr:cNvPr>
        <xdr:cNvSpPr/>
      </xdr:nvSpPr>
      <xdr:spPr>
        <a:xfrm>
          <a:off x="9978390" y="1203960"/>
          <a:ext cx="1224000" cy="54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baseline="0">
              <a:solidFill>
                <a:schemeClr val="lt1"/>
              </a:solidFill>
              <a:effectLst/>
              <a:latin typeface="+mn-lt"/>
              <a:ea typeface="+mn-ea"/>
              <a:cs typeface="+mn-cs"/>
            </a:rPr>
            <a:t>CANCELLED</a:t>
          </a:r>
          <a:r>
            <a:rPr lang="en-IN" b="1"/>
            <a:t> %</a:t>
          </a:r>
          <a:br>
            <a:rPr lang="en-IN"/>
          </a:br>
          <a:r>
            <a:rPr lang="en-IN" sz="1600" b="1" i="0" baseline="0">
              <a:solidFill>
                <a:schemeClr val="lt1"/>
              </a:solidFill>
              <a:effectLst/>
              <a:latin typeface="+mn-lt"/>
              <a:ea typeface="+mn-ea"/>
              <a:cs typeface="+mn-cs"/>
            </a:rPr>
            <a:t>6.6</a:t>
          </a:r>
          <a:r>
            <a:rPr lang="en-IN" sz="1600" b="1"/>
            <a:t>%</a:t>
          </a:r>
          <a:endParaRPr lang="en-IN" sz="1100"/>
        </a:p>
      </xdr:txBody>
    </xdr:sp>
    <xdr:clientData/>
  </xdr:twoCellAnchor>
  <xdr:twoCellAnchor>
    <xdr:from>
      <xdr:col>15</xdr:col>
      <xdr:colOff>54512</xdr:colOff>
      <xdr:row>38</xdr:row>
      <xdr:rowOff>140091</xdr:rowOff>
    </xdr:from>
    <xdr:to>
      <xdr:col>23</xdr:col>
      <xdr:colOff>8912</xdr:colOff>
      <xdr:row>50</xdr:row>
      <xdr:rowOff>32738</xdr:rowOff>
    </xdr:to>
    <xdr:graphicFrame macro="">
      <xdr:nvGraphicFramePr>
        <xdr:cNvPr id="27" name="Chart 26">
          <a:extLst>
            <a:ext uri="{FF2B5EF4-FFF2-40B4-BE49-F238E27FC236}">
              <a16:creationId xmlns:a16="http://schemas.microsoft.com/office/drawing/2014/main" id="{0E01E69C-1A4D-4D21-B794-14E3410F2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510540</xdr:colOff>
      <xdr:row>12</xdr:row>
      <xdr:rowOff>58615</xdr:rowOff>
    </xdr:from>
    <xdr:to>
      <xdr:col>2</xdr:col>
      <xdr:colOff>580140</xdr:colOff>
      <xdr:row>19</xdr:row>
      <xdr:rowOff>41631</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35BEE7DF-C5A9-7DC6-B67F-9E438284613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0540" y="2579077"/>
              <a:ext cx="128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xdr:colOff>
      <xdr:row>25</xdr:row>
      <xdr:rowOff>45720</xdr:rowOff>
    </xdr:from>
    <xdr:to>
      <xdr:col>14</xdr:col>
      <xdr:colOff>227640</xdr:colOff>
      <xdr:row>37</xdr:row>
      <xdr:rowOff>59290</xdr:rowOff>
    </xdr:to>
    <xdr:graphicFrame macro="">
      <xdr:nvGraphicFramePr>
        <xdr:cNvPr id="30" name="Chart 29">
          <a:extLst>
            <a:ext uri="{FF2B5EF4-FFF2-40B4-BE49-F238E27FC236}">
              <a16:creationId xmlns:a16="http://schemas.microsoft.com/office/drawing/2014/main" id="{FFE45366-3815-4BE3-AA69-BD6D70923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464820</xdr:colOff>
      <xdr:row>20</xdr:row>
      <xdr:rowOff>106680</xdr:rowOff>
    </xdr:from>
    <xdr:to>
      <xdr:col>2</xdr:col>
      <xdr:colOff>534420</xdr:colOff>
      <xdr:row>27</xdr:row>
      <xdr:rowOff>89695</xdr:rowOff>
    </xdr:to>
    <mc:AlternateContent xmlns:mc="http://schemas.openxmlformats.org/markup-compatibility/2006">
      <mc:Choice xmlns:a14="http://schemas.microsoft.com/office/drawing/2010/main" Requires="a14">
        <xdr:graphicFrame macro="">
          <xdr:nvGraphicFramePr>
            <xdr:cNvPr id="31" name="City cleaning">
              <a:extLst>
                <a:ext uri="{FF2B5EF4-FFF2-40B4-BE49-F238E27FC236}">
                  <a16:creationId xmlns:a16="http://schemas.microsoft.com/office/drawing/2014/main" id="{40E788C1-8A8D-9871-ABAB-FCE34F7A3640}"/>
                </a:ext>
              </a:extLst>
            </xdr:cNvPr>
            <xdr:cNvGraphicFramePr/>
          </xdr:nvGraphicFramePr>
          <xdr:xfrm>
            <a:off x="0" y="0"/>
            <a:ext cx="0" cy="0"/>
          </xdr:xfrm>
          <a:graphic>
            <a:graphicData uri="http://schemas.microsoft.com/office/drawing/2010/slicer">
              <sle:slicer xmlns:sle="http://schemas.microsoft.com/office/drawing/2010/slicer" name="City cleaning"/>
            </a:graphicData>
          </a:graphic>
        </xdr:graphicFrame>
      </mc:Choice>
      <mc:Fallback>
        <xdr:sp macro="" textlink="">
          <xdr:nvSpPr>
            <xdr:cNvPr id="0" name=""/>
            <xdr:cNvSpPr>
              <a:spLocks noTextEdit="1"/>
            </xdr:cNvSpPr>
          </xdr:nvSpPr>
          <xdr:spPr>
            <a:xfrm>
              <a:off x="464820" y="4127695"/>
              <a:ext cx="128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408549</xdr:colOff>
      <xdr:row>36</xdr:row>
      <xdr:rowOff>45721</xdr:rowOff>
    </xdr:from>
    <xdr:to>
      <xdr:col>2</xdr:col>
      <xdr:colOff>478149</xdr:colOff>
      <xdr:row>43</xdr:row>
      <xdr:rowOff>28736</xdr:rowOff>
    </xdr:to>
    <mc:AlternateContent xmlns:mc="http://schemas.openxmlformats.org/markup-compatibility/2006">
      <mc:Choice xmlns:a14="http://schemas.microsoft.com/office/drawing/2010/main" Requires="a14">
        <xdr:graphicFrame macro="">
          <xdr:nvGraphicFramePr>
            <xdr:cNvPr id="32" name="Order Status">
              <a:extLst>
                <a:ext uri="{FF2B5EF4-FFF2-40B4-BE49-F238E27FC236}">
                  <a16:creationId xmlns:a16="http://schemas.microsoft.com/office/drawing/2014/main" id="{BA7B9C05-FFAC-E693-B2FE-CB51BC7520D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408549" y="7067844"/>
              <a:ext cx="128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44</xdr:row>
      <xdr:rowOff>99061</xdr:rowOff>
    </xdr:from>
    <xdr:to>
      <xdr:col>2</xdr:col>
      <xdr:colOff>427740</xdr:colOff>
      <xdr:row>50</xdr:row>
      <xdr:rowOff>105523</xdr:rowOff>
    </xdr:to>
    <mc:AlternateContent xmlns:mc="http://schemas.openxmlformats.org/markup-compatibility/2006">
      <mc:Choice xmlns:a14="http://schemas.microsoft.com/office/drawing/2010/main" Requires="a14">
        <xdr:graphicFrame macro="">
          <xdr:nvGraphicFramePr>
            <xdr:cNvPr id="33" name="Clean Payment Method">
              <a:extLst>
                <a:ext uri="{FF2B5EF4-FFF2-40B4-BE49-F238E27FC236}">
                  <a16:creationId xmlns:a16="http://schemas.microsoft.com/office/drawing/2014/main" id="{17AD6C73-67ED-A9DE-AD1C-EF889282B4C2}"/>
                </a:ext>
              </a:extLst>
            </xdr:cNvPr>
            <xdr:cNvGraphicFramePr/>
          </xdr:nvGraphicFramePr>
          <xdr:xfrm>
            <a:off x="0" y="0"/>
            <a:ext cx="0" cy="0"/>
          </xdr:xfrm>
          <a:graphic>
            <a:graphicData uri="http://schemas.microsoft.com/office/drawing/2010/slicer">
              <sle:slicer xmlns:sle="http://schemas.microsoft.com/office/drawing/2010/slicer" name="Clean Payment Method"/>
            </a:graphicData>
          </a:graphic>
        </xdr:graphicFrame>
      </mc:Choice>
      <mc:Fallback>
        <xdr:sp macro="" textlink="">
          <xdr:nvSpPr>
            <xdr:cNvPr id="0" name=""/>
            <xdr:cNvSpPr>
              <a:spLocks noTextEdit="1"/>
            </xdr:cNvSpPr>
          </xdr:nvSpPr>
          <xdr:spPr>
            <a:xfrm>
              <a:off x="358140" y="8621738"/>
              <a:ext cx="128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442547</xdr:colOff>
      <xdr:row>28</xdr:row>
      <xdr:rowOff>66822</xdr:rowOff>
    </xdr:from>
    <xdr:to>
      <xdr:col>2</xdr:col>
      <xdr:colOff>512147</xdr:colOff>
      <xdr:row>35</xdr:row>
      <xdr:rowOff>49837</xdr:rowOff>
    </xdr:to>
    <mc:AlternateContent xmlns:mc="http://schemas.openxmlformats.org/markup-compatibility/2006">
      <mc:Choice xmlns:a14="http://schemas.microsoft.com/office/drawing/2010/main" Requires="a14">
        <xdr:graphicFrame macro="">
          <xdr:nvGraphicFramePr>
            <xdr:cNvPr id="34" name="Product">
              <a:extLst>
                <a:ext uri="{FF2B5EF4-FFF2-40B4-BE49-F238E27FC236}">
                  <a16:creationId xmlns:a16="http://schemas.microsoft.com/office/drawing/2014/main" id="{37783EC9-850A-BBD7-B77F-E27845ADB70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42547" y="5588391"/>
              <a:ext cx="12888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24032</xdr:colOff>
      <xdr:row>11</xdr:row>
      <xdr:rowOff>82061</xdr:rowOff>
    </xdr:from>
    <xdr:to>
      <xdr:col>22</xdr:col>
      <xdr:colOff>586154</xdr:colOff>
      <xdr:row>23</xdr:row>
      <xdr:rowOff>140090</xdr:rowOff>
    </xdr:to>
    <xdr:graphicFrame macro="">
      <xdr:nvGraphicFramePr>
        <xdr:cNvPr id="35" name="Chart 34">
          <a:extLst>
            <a:ext uri="{FF2B5EF4-FFF2-40B4-BE49-F238E27FC236}">
              <a16:creationId xmlns:a16="http://schemas.microsoft.com/office/drawing/2014/main" id="{DBFD1116-8419-4EDA-9FDB-E2FAE870F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Tiwari" refreshedDate="46291.83464108796" createdVersion="8" refreshedVersion="8" minRefreshableVersion="3" recordCount="501" xr:uid="{BBEC3843-380E-4869-914D-AA517D294EF8}">
  <cacheSource type="worksheet">
    <worksheetSource ref="A1:W1048576" sheet="Cleaned data"/>
  </cacheSource>
  <cacheFields count="23">
    <cacheField name="Order ID" numFmtId="0">
      <sharedItems containsBlank="1"/>
    </cacheField>
    <cacheField name="Order Date" numFmtId="0">
      <sharedItems containsNonDate="0" containsDate="1" containsString="0" containsBlank="1" minDate="2026-01-01T00:00:00" maxDate="2026-07-01T00:00:00"/>
    </cacheField>
    <cacheField name="clean order date" numFmtId="0">
      <sharedItems containsBlank="1" count="7">
        <s v="Apr"/>
        <s v="Feb"/>
        <s v="May"/>
        <s v="Jan"/>
        <s v="Mar"/>
        <s v="Jun"/>
        <m/>
      </sharedItems>
    </cacheField>
    <cacheField name="Customer ID" numFmtId="0">
      <sharedItems containsBlank="1"/>
    </cacheField>
    <cacheField name="Customer Name" numFmtId="0">
      <sharedItems containsBlank="1"/>
    </cacheField>
    <cacheField name="Clean Customer Name" numFmtId="0">
      <sharedItems containsBlank="1"/>
    </cacheField>
    <cacheField name="City" numFmtId="0">
      <sharedItems containsBlank="1" count="10">
        <s v="Lucknow"/>
        <s v="Chandigarh"/>
        <s v="Noida"/>
        <s v="Delhi"/>
        <s v="Gurugram"/>
        <s v="Jaipur"/>
        <s v="Faridabad"/>
        <s v="Ghaziabad"/>
        <s v=" Noida "/>
        <m/>
      </sharedItems>
    </cacheField>
    <cacheField name="City-wise Analysis" numFmtId="0">
      <sharedItems containsString="0" containsBlank="1" containsNumber="1" containsInteger="1" minValue="1" maxValue="73" count="9">
        <n v="49"/>
        <n v="35"/>
        <n v="64"/>
        <n v="73"/>
        <n v="69"/>
        <n v="36"/>
        <n v="40"/>
        <n v="1"/>
        <m/>
      </sharedItems>
    </cacheField>
    <cacheField name="City cleaning" numFmtId="0">
      <sharedItems containsBlank="1" count="9">
        <s v="Lucknow"/>
        <s v="Chandigarh"/>
        <s v="Noida"/>
        <s v="Delhi"/>
        <s v="Gurugram"/>
        <s v="Jaipur"/>
        <s v="Faridabad"/>
        <s v="Ghaziabad"/>
        <m/>
      </sharedItems>
    </cacheField>
    <cacheField name="Product" numFmtId="0">
      <sharedItems containsBlank="1" count="26">
        <s v="Power Bank"/>
        <s v="Hair Dryer"/>
        <s v="Laptop Stand"/>
        <s v="Green Tea"/>
        <s v="Table Lamp"/>
        <s v="Hoodie"/>
        <s v="Storage Box"/>
        <s v="Face Wash"/>
        <s v="Coffee"/>
        <s v="Bedsheet Set"/>
        <s v="Dry Fruits"/>
        <s v="Shampoo"/>
        <s v="Bluetooth Speaker"/>
        <s v="Protein Bars"/>
        <s v="Body Lotion"/>
        <s v="Oats"/>
        <s v="Backpack"/>
        <s v="Running Shoes"/>
        <s v="T-Shirt"/>
        <s v="Cushion Set"/>
        <s v="Water Bottle"/>
        <s v="Wireless Earbuds"/>
        <s v="Jeans"/>
        <s v="Smart Watch"/>
        <s v="Moisturizer"/>
        <m/>
      </sharedItems>
    </cacheField>
    <cacheField name="sum if" numFmtId="0">
      <sharedItems containsString="0" containsBlank="1" containsNumber="1" containsInteger="1" minValue="10" maxValue="55"/>
    </cacheField>
    <cacheField name="Product2" numFmtId="0">
      <sharedItems containsBlank="1"/>
    </cacheField>
    <cacheField name="sum if2" numFmtId="0">
      <sharedItems containsString="0" containsBlank="1" containsNumber="1" containsInteger="1" minValue="10050" maxValue="6013944"/>
    </cacheField>
    <cacheField name="Category" numFmtId="0">
      <sharedItems containsBlank="1" count="6">
        <s v="Electronics"/>
        <s v="Beauty"/>
        <s v="Grocery"/>
        <s v="Home"/>
        <s v="Fashion"/>
        <m/>
      </sharedItems>
    </cacheField>
    <cacheField name="Quantity" numFmtId="0">
      <sharedItems containsString="0" containsBlank="1" containsNumber="1" containsInteger="1" minValue="1" maxValue="4"/>
    </cacheField>
    <cacheField name="Unit Price" numFmtId="0">
      <sharedItems containsString="0" containsBlank="1" containsNumber="1" containsInteger="1" minValue="150" maxValue="54990"/>
    </cacheField>
    <cacheField name="Discount %" numFmtId="0">
      <sharedItems containsString="0" containsBlank="1" containsNumber="1" containsInteger="1" minValue="0" maxValue="25"/>
    </cacheField>
    <cacheField name="Sales Amount" numFmtId="0">
      <sharedItems containsString="0" containsBlank="1" containsNumber="1" containsInteger="1" minValue="150" maxValue="176928"/>
    </cacheField>
    <cacheField name="Payment Method" numFmtId="0">
      <sharedItems containsBlank="1"/>
    </cacheField>
    <cacheField name="Clean Payment Method" numFmtId="0">
      <sharedItems containsBlank="1" count="5">
        <s v="UPI"/>
        <s v="Card"/>
        <s v="COD"/>
        <s v="Net Banking"/>
        <m/>
      </sharedItems>
    </cacheField>
    <cacheField name="Field21" caption="Field21" numFmtId="0">
      <sharedItems containsString="0" containsBlank="1" containsNumber="1" containsInteger="1" minValue="0" maxValue="200"/>
    </cacheField>
    <cacheField name="Order Status" numFmtId="0">
      <sharedItems containsBlank="1" count="4">
        <s v="Delivered"/>
        <s v="Cancelled"/>
        <s v="Returned"/>
        <m/>
      </sharedItems>
    </cacheField>
    <cacheField name="Delivery Days" numFmtId="0">
      <sharedItems containsString="0" containsBlank="1" containsNumber="1" containsInteger="1" minValue="0" maxValue="9"/>
    </cacheField>
  </cacheFields>
  <extLst>
    <ext xmlns:x14="http://schemas.microsoft.com/office/spreadsheetml/2009/9/main" uri="{725AE2AE-9491-48be-B2B4-4EB974FC3084}">
      <x14:pivotCacheDefinition pivotCacheId="1759061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10001"/>
    <d v="2026-04-13T00:00:00"/>
    <x v="0"/>
    <s v="CUST1150"/>
    <s v="Aditya"/>
    <s v="Aditya"/>
    <x v="0"/>
    <x v="0"/>
    <x v="0"/>
    <x v="0"/>
    <n v="55"/>
    <s v="Backpack"/>
    <n v="98600"/>
    <x v="0"/>
    <n v="1"/>
    <n v="37060"/>
    <n v="0"/>
    <n v="37060"/>
    <s v="UPI"/>
    <x v="0"/>
    <n v="200"/>
    <x v="0"/>
    <n v="6"/>
  </r>
  <r>
    <s v="ORD10002"/>
    <d v="2026-02-22T00:00:00"/>
    <x v="1"/>
    <s v="CUST1049"/>
    <s v="Pooja"/>
    <s v="Pooja"/>
    <x v="1"/>
    <x v="1"/>
    <x v="1"/>
    <x v="1"/>
    <n v="20"/>
    <s v="Bedsheet Set"/>
    <n v="39173"/>
    <x v="1"/>
    <n v="1"/>
    <n v="1627"/>
    <n v="5"/>
    <n v="1627"/>
    <s v="Card"/>
    <x v="1"/>
    <n v="135"/>
    <x v="0"/>
    <n v="3"/>
  </r>
  <r>
    <s v="ORD10003"/>
    <d v="2026-02-28T00:00:00"/>
    <x v="1"/>
    <s v="CUST1051"/>
    <s v="Simran"/>
    <s v="Simran"/>
    <x v="2"/>
    <x v="2"/>
    <x v="2"/>
    <x v="2"/>
    <n v="36"/>
    <s v="Body Lotion"/>
    <n v="26645"/>
    <x v="0"/>
    <n v="1"/>
    <n v="28095"/>
    <n v="0"/>
    <n v="28095"/>
    <s v="Card"/>
    <x v="1"/>
    <n v="135"/>
    <x v="0"/>
    <n v="3"/>
  </r>
  <r>
    <s v="ORD10004"/>
    <d v="2026-05-15T00:00:00"/>
    <x v="2"/>
    <s v="CUST1084"/>
    <s v="Rohan"/>
    <s v="Rohan"/>
    <x v="3"/>
    <x v="3"/>
    <x v="3"/>
    <x v="2"/>
    <n v="36"/>
    <s v="Bluetooth Speaker"/>
    <n v="1245131"/>
    <x v="0"/>
    <n v="3"/>
    <n v="44232"/>
    <n v="15"/>
    <n v="132696"/>
    <s v="UPI"/>
    <x v="0"/>
    <n v="200"/>
    <x v="0"/>
    <n v="4"/>
  </r>
  <r>
    <s v="ORD10005"/>
    <d v="2026-04-02T00:00:00"/>
    <x v="0"/>
    <s v="CUST1106"/>
    <s v="Aman"/>
    <s v="Aman"/>
    <x v="4"/>
    <x v="4"/>
    <x v="4"/>
    <x v="0"/>
    <n v="55"/>
    <s v="Coffee"/>
    <n v="10750"/>
    <x v="0"/>
    <n v="1"/>
    <n v="13751"/>
    <n v="20"/>
    <n v="13751"/>
    <s v="UPI"/>
    <x v="0"/>
    <n v="200"/>
    <x v="0"/>
    <n v="4"/>
  </r>
  <r>
    <s v="ORD10006"/>
    <d v="2026-01-04T00:00:00"/>
    <x v="3"/>
    <s v="CUST1040"/>
    <s v="Aarav"/>
    <s v="Aarav"/>
    <x v="3"/>
    <x v="3"/>
    <x v="3"/>
    <x v="3"/>
    <n v="29"/>
    <s v="Cushion Set"/>
    <n v="37527"/>
    <x v="2"/>
    <n v="3"/>
    <n v="700"/>
    <n v="20"/>
    <n v="2100"/>
    <s v="Card"/>
    <x v="1"/>
    <n v="135"/>
    <x v="1"/>
    <n v="0"/>
  </r>
  <r>
    <s v="ORD10007"/>
    <d v="2026-03-23T00:00:00"/>
    <x v="4"/>
    <s v="CUST1089"/>
    <s v="Pooja"/>
    <s v="Pooja"/>
    <x v="4"/>
    <x v="4"/>
    <x v="4"/>
    <x v="4"/>
    <n v="29"/>
    <s v="Face Wash"/>
    <n v="24518"/>
    <x v="3"/>
    <n v="1"/>
    <n v="2271"/>
    <n v="5"/>
    <n v="2271"/>
    <s v="UPI"/>
    <x v="0"/>
    <n v="200"/>
    <x v="0"/>
    <n v="1"/>
  </r>
  <r>
    <s v="ORD10008"/>
    <d v="2026-03-12T00:00:00"/>
    <x v="4"/>
    <s v="CUST1135"/>
    <s v="Isha"/>
    <s v="Isha"/>
    <x v="4"/>
    <x v="4"/>
    <x v="4"/>
    <x v="5"/>
    <n v="31"/>
    <s v="Dry Fruits"/>
    <n v="28000"/>
    <x v="4"/>
    <n v="2"/>
    <n v="2300"/>
    <n v="15"/>
    <n v="4600"/>
    <s v="COD"/>
    <x v="2"/>
    <n v="129"/>
    <x v="0"/>
    <n v="3"/>
  </r>
  <r>
    <s v="ORD10009"/>
    <d v="2026-03-13T00:00:00"/>
    <x v="4"/>
    <s v="CUST1175"/>
    <s v="Isha"/>
    <s v="Isha"/>
    <x v="4"/>
    <x v="4"/>
    <x v="4"/>
    <x v="0"/>
    <n v="55"/>
    <s v="Hair Dryer"/>
    <n v="20657"/>
    <x v="0"/>
    <n v="1"/>
    <n v="4786"/>
    <n v="5"/>
    <n v="4786"/>
    <s v="Card"/>
    <x v="1"/>
    <n v="135"/>
    <x v="0"/>
    <n v="3"/>
  </r>
  <r>
    <s v="ORD10010"/>
    <d v="2026-05-11T00:00:00"/>
    <x v="2"/>
    <s v="CUST1096"/>
    <s v="Nikhil"/>
    <s v="Nikhil"/>
    <x v="0"/>
    <x v="0"/>
    <x v="0"/>
    <x v="6"/>
    <n v="33"/>
    <s v="Green Tea"/>
    <n v="24550"/>
    <x v="3"/>
    <n v="2"/>
    <n v="884"/>
    <n v="0"/>
    <n v="1768"/>
    <s v="Card"/>
    <x v="1"/>
    <n v="135"/>
    <x v="0"/>
    <n v="3"/>
  </r>
  <r>
    <s v="ORD10011"/>
    <d v="2026-05-12T00:00:00"/>
    <x v="2"/>
    <s v="CUST1086"/>
    <s v="Aman"/>
    <s v="Aman"/>
    <x v="5"/>
    <x v="5"/>
    <x v="5"/>
    <x v="0"/>
    <n v="55"/>
    <s v="Hoodie"/>
    <n v="69600"/>
    <x v="0"/>
    <n v="2"/>
    <n v="26302"/>
    <n v="5"/>
    <n v="52604"/>
    <s v="UPI"/>
    <x v="0"/>
    <n v="200"/>
    <x v="0"/>
    <n v="5"/>
  </r>
  <r>
    <s v="ORD10012"/>
    <d v="2026-01-28T00:00:00"/>
    <x v="3"/>
    <s v="CUST1075"/>
    <s v="Isha"/>
    <s v="Isha"/>
    <x v="5"/>
    <x v="5"/>
    <x v="5"/>
    <x v="7"/>
    <n v="23"/>
    <s v="Jeans"/>
    <n v="119500"/>
    <x v="1"/>
    <n v="2"/>
    <n v="1270"/>
    <n v="15"/>
    <n v="2540"/>
    <s v="UPI"/>
    <x v="0"/>
    <n v="200"/>
    <x v="1"/>
    <n v="0"/>
  </r>
  <r>
    <s v="ORD10013"/>
    <d v="2026-05-08T00:00:00"/>
    <x v="2"/>
    <s v="CUST1137"/>
    <s v="Riya"/>
    <s v="Riya"/>
    <x v="0"/>
    <x v="0"/>
    <x v="0"/>
    <x v="8"/>
    <n v="14"/>
    <s v="Laptop Stand"/>
    <n v="1176376"/>
    <x v="2"/>
    <n v="1"/>
    <n v="150"/>
    <n v="5"/>
    <n v="150"/>
    <s v="COD"/>
    <x v="2"/>
    <n v="129"/>
    <x v="0"/>
    <n v="2"/>
  </r>
  <r>
    <s v="ORD10014"/>
    <d v="2026-03-03T00:00:00"/>
    <x v="4"/>
    <s v="CUST1113"/>
    <s v="Sneha"/>
    <s v="Sneha"/>
    <x v="2"/>
    <x v="2"/>
    <x v="2"/>
    <x v="2"/>
    <n v="36"/>
    <s v="Moisturizer"/>
    <n v="15312"/>
    <x v="0"/>
    <n v="3"/>
    <n v="42439"/>
    <n v="5"/>
    <n v="127317"/>
    <s v="Card"/>
    <x v="1"/>
    <n v="135"/>
    <x v="0"/>
    <n v="3"/>
  </r>
  <r>
    <s v="ORD10015"/>
    <d v="2026-03-03T00:00:00"/>
    <x v="4"/>
    <s v="CUST1129"/>
    <s v="Pooja"/>
    <s v="Pooja"/>
    <x v="1"/>
    <x v="1"/>
    <x v="1"/>
    <x v="3"/>
    <n v="29"/>
    <s v="Oats"/>
    <n v="10050"/>
    <x v="2"/>
    <n v="1"/>
    <n v="250"/>
    <n v="5"/>
    <n v="250"/>
    <s v="UPI"/>
    <x v="0"/>
    <n v="200"/>
    <x v="0"/>
    <n v="1"/>
  </r>
  <r>
    <s v="ORD10016"/>
    <d v="2026-05-27T00:00:00"/>
    <x v="2"/>
    <s v="CUST1038"/>
    <s v="Varun"/>
    <s v="Varun"/>
    <x v="6"/>
    <x v="1"/>
    <x v="6"/>
    <x v="9"/>
    <n v="33"/>
    <s v="Power Bank"/>
    <n v="1484263"/>
    <x v="3"/>
    <n v="1"/>
    <n v="665"/>
    <n v="10"/>
    <n v="665"/>
    <s v="COD"/>
    <x v="2"/>
    <n v="129"/>
    <x v="0"/>
    <n v="4"/>
  </r>
  <r>
    <s v="ORD10017"/>
    <d v="2026-01-24T00:00:00"/>
    <x v="3"/>
    <s v="CUST1164"/>
    <s v="Rohan"/>
    <s v="Rohan"/>
    <x v="4"/>
    <x v="4"/>
    <x v="4"/>
    <x v="10"/>
    <n v="30"/>
    <s v="Protein Bars"/>
    <n v="24750"/>
    <x v="2"/>
    <n v="2"/>
    <n v="900"/>
    <n v="0"/>
    <n v="1800"/>
    <s v="Card"/>
    <x v="1"/>
    <n v="135"/>
    <x v="0"/>
    <n v="1"/>
  </r>
  <r>
    <s v="ORD10018"/>
    <d v="2026-05-27T00:00:00"/>
    <x v="2"/>
    <s v="CUST1129"/>
    <s v=" Pooja "/>
    <s v="Pooja"/>
    <x v="6"/>
    <x v="1"/>
    <x v="6"/>
    <x v="11"/>
    <n v="17"/>
    <s v="Running Shoes"/>
    <n v="77500"/>
    <x v="1"/>
    <n v="1"/>
    <n v="556"/>
    <n v="10"/>
    <n v="556"/>
    <s v="UPI"/>
    <x v="0"/>
    <n v="200"/>
    <x v="1"/>
    <n v="0"/>
  </r>
  <r>
    <s v="ORD10019"/>
    <d v="2026-01-11T00:00:00"/>
    <x v="3"/>
    <s v="CUST1113"/>
    <s v="Sneha"/>
    <s v="Sneha"/>
    <x v="2"/>
    <x v="2"/>
    <x v="2"/>
    <x v="12"/>
    <n v="41"/>
    <s v="Shampoo"/>
    <n v="15470"/>
    <x v="0"/>
    <n v="1"/>
    <n v="4786"/>
    <n v="0"/>
    <n v="4786"/>
    <s v="Net Banking"/>
    <x v="3"/>
    <n v="36"/>
    <x v="0"/>
    <n v="5"/>
  </r>
  <r>
    <s v="ORD10020"/>
    <d v="2026-01-02T00:00:00"/>
    <x v="3"/>
    <s v="CUST1054"/>
    <s v="Karan"/>
    <s v="Karan"/>
    <x v="1"/>
    <x v="1"/>
    <x v="1"/>
    <x v="13"/>
    <n v="28"/>
    <s v="Smart Watch"/>
    <n v="420225"/>
    <x v="2"/>
    <n v="3"/>
    <n v="350"/>
    <n v="0"/>
    <n v="1050"/>
    <s v="UPI"/>
    <x v="0"/>
    <n v="200"/>
    <x v="0"/>
    <n v="2"/>
  </r>
  <r>
    <s v="ORD10021"/>
    <d v="2026-04-30T00:00:00"/>
    <x v="0"/>
    <s v="CUST1099"/>
    <s v="Meera"/>
    <s v="Meera"/>
    <x v="5"/>
    <x v="5"/>
    <x v="5"/>
    <x v="8"/>
    <n v="14"/>
    <s v="Storage Box"/>
    <n v="50999"/>
    <x v="2"/>
    <n v="2"/>
    <n v="500"/>
    <n v="10"/>
    <n v="1000"/>
    <s v="Card"/>
    <x v="1"/>
    <n v="135"/>
    <x v="0"/>
    <n v="2"/>
  </r>
  <r>
    <s v="ORD10022"/>
    <d v="2026-06-02T00:00:00"/>
    <x v="5"/>
    <s v="CUST1148"/>
    <s v="Arjun"/>
    <s v="Arjun"/>
    <x v="3"/>
    <x v="3"/>
    <x v="3"/>
    <x v="12"/>
    <n v="41"/>
    <s v="Table Lamp"/>
    <n v="38776"/>
    <x v="0"/>
    <n v="2"/>
    <n v="2993"/>
    <n v="10"/>
    <n v="5986"/>
    <s v="UPI"/>
    <x v="0"/>
    <n v="200"/>
    <x v="0"/>
    <n v="3"/>
  </r>
  <r>
    <s v="ORD10023"/>
    <d v="2026-05-08T00:00:00"/>
    <x v="2"/>
    <s v="CUST1038"/>
    <s v="Varun"/>
    <s v="Varun"/>
    <x v="6"/>
    <x v="1"/>
    <x v="6"/>
    <x v="7"/>
    <n v="23"/>
    <s v="T-Shirt"/>
    <n v="70100"/>
    <x v="1"/>
    <n v="1"/>
    <n v="1015"/>
    <n v="5"/>
    <n v="1015"/>
    <s v="UPI"/>
    <x v="0"/>
    <n v="200"/>
    <x v="0"/>
    <n v="1"/>
  </r>
  <r>
    <s v="ORD10024"/>
    <d v="2026-04-19T00:00:00"/>
    <x v="0"/>
    <s v="CUST1004"/>
    <s v="Rohan"/>
    <s v="Rohan"/>
    <x v="4"/>
    <x v="4"/>
    <x v="4"/>
    <x v="10"/>
    <n v="30"/>
    <s v="Water Bottle"/>
    <n v="52759"/>
    <x v="2"/>
    <n v="1"/>
    <n v="200"/>
    <n v="10"/>
    <n v="200"/>
    <s v="Card"/>
    <x v="1"/>
    <n v="135"/>
    <x v="0"/>
    <n v="1"/>
  </r>
  <r>
    <s v="ORD10025"/>
    <d v="2026-02-04T00:00:00"/>
    <x v="1"/>
    <s v="CUST1037"/>
    <s v="Riya"/>
    <s v="Riya"/>
    <x v="0"/>
    <x v="0"/>
    <x v="0"/>
    <x v="2"/>
    <n v="36"/>
    <s v="Wireless Earbuds"/>
    <n v="832713"/>
    <x v="0"/>
    <n v="1"/>
    <n v="49611"/>
    <n v="5"/>
    <n v="49611"/>
    <s v="COD"/>
    <x v="2"/>
    <n v="129"/>
    <x v="0"/>
    <n v="1"/>
  </r>
  <r>
    <s v="ORD10026"/>
    <d v="2026-01-24T00:00:00"/>
    <x v="3"/>
    <s v="CUST1025"/>
    <s v="Neha"/>
    <s v="Neha"/>
    <x v="2"/>
    <x v="2"/>
    <x v="2"/>
    <x v="6"/>
    <n v="33"/>
    <m/>
    <m/>
    <x v="3"/>
    <n v="2"/>
    <n v="2271"/>
    <n v="5"/>
    <n v="4542"/>
    <s v="UPI"/>
    <x v="0"/>
    <n v="200"/>
    <x v="0"/>
    <n v="2"/>
  </r>
  <r>
    <s v="ORD10027"/>
    <d v="2026-02-23T00:00:00"/>
    <x v="1"/>
    <s v="CUST1017"/>
    <s v="Riya"/>
    <s v="Riya"/>
    <x v="6"/>
    <x v="1"/>
    <x v="6"/>
    <x v="9"/>
    <n v="33"/>
    <m/>
    <n v="6013944"/>
    <x v="3"/>
    <n v="4"/>
    <n v="1322"/>
    <n v="0"/>
    <n v="5288"/>
    <s v="Card"/>
    <x v="1"/>
    <n v="135"/>
    <x v="0"/>
    <n v="3"/>
  </r>
  <r>
    <s v="ORD10028"/>
    <d v="2026-04-14T00:00:00"/>
    <x v="0"/>
    <s v="CUST1135"/>
    <s v="Isha"/>
    <s v="Isha"/>
    <x v="6"/>
    <x v="1"/>
    <x v="6"/>
    <x v="14"/>
    <n v="26"/>
    <m/>
    <m/>
    <x v="1"/>
    <n v="2"/>
    <n v="709"/>
    <n v="15"/>
    <n v="1418"/>
    <s v="COD"/>
    <x v="2"/>
    <n v="129"/>
    <x v="1"/>
    <n v="0"/>
  </r>
  <r>
    <s v="ORD10029"/>
    <d v="2026-02-26T00:00:00"/>
    <x v="1"/>
    <s v="CUST1063"/>
    <s v="Priya"/>
    <s v="Priya"/>
    <x v="7"/>
    <x v="6"/>
    <x v="7"/>
    <x v="2"/>
    <n v="36"/>
    <m/>
    <m/>
    <x v="0"/>
    <n v="1"/>
    <n v="33474"/>
    <n v="5"/>
    <n v="33474"/>
    <s v="UPI"/>
    <x v="0"/>
    <n v="200"/>
    <x v="0"/>
    <n v="3"/>
  </r>
  <r>
    <s v="ORD10030"/>
    <d v="2026-05-05T00:00:00"/>
    <x v="2"/>
    <s v="CUST1008"/>
    <s v="Arjun"/>
    <s v="Arjun"/>
    <x v="0"/>
    <x v="0"/>
    <x v="0"/>
    <x v="8"/>
    <n v="14"/>
    <m/>
    <m/>
    <x v="2"/>
    <n v="1"/>
    <n v="1100"/>
    <n v="5"/>
    <n v="1100"/>
    <s v="Card"/>
    <x v="1"/>
    <n v="135"/>
    <x v="0"/>
    <n v="1"/>
  </r>
  <r>
    <s v="ORD10031"/>
    <d v="2026-02-22T00:00:00"/>
    <x v="1"/>
    <s v="CUST1145"/>
    <s v="Neha"/>
    <s v="Neha"/>
    <x v="2"/>
    <x v="2"/>
    <x v="2"/>
    <x v="15"/>
    <n v="10"/>
    <m/>
    <m/>
    <x v="2"/>
    <n v="1"/>
    <n v="400"/>
    <n v="10"/>
    <n v="400"/>
    <s v="Card"/>
    <x v="1"/>
    <n v="135"/>
    <x v="0"/>
    <n v="1"/>
  </r>
  <r>
    <s v="ORD10032"/>
    <d v="2026-04-30T00:00:00"/>
    <x v="0"/>
    <s v="CUST1129"/>
    <s v="Pooja"/>
    <s v="Pooja"/>
    <x v="2"/>
    <x v="2"/>
    <x v="2"/>
    <x v="16"/>
    <n v="44"/>
    <m/>
    <m/>
    <x v="4"/>
    <n v="1"/>
    <n v="900"/>
    <n v="0"/>
    <n v="900"/>
    <s v="Card"/>
    <x v="1"/>
    <n v="135"/>
    <x v="0"/>
    <n v="5"/>
  </r>
  <r>
    <s v="ORD10033"/>
    <d v="2026-02-27T00:00:00"/>
    <x v="1"/>
    <s v="CUST1076"/>
    <s v="Nikhil"/>
    <s v="Nikhil"/>
    <x v="5"/>
    <x v="5"/>
    <x v="5"/>
    <x v="17"/>
    <n v="41"/>
    <m/>
    <m/>
    <x v="4"/>
    <n v="3"/>
    <n v="1200"/>
    <n v="10"/>
    <n v="3600"/>
    <s v="Card"/>
    <x v="1"/>
    <n v="135"/>
    <x v="0"/>
    <n v="7"/>
  </r>
  <r>
    <s v="ORD10034"/>
    <d v="2026-06-03T00:00:00"/>
    <x v="5"/>
    <s v="CUST1144"/>
    <s v="Rohan"/>
    <s v="Rohan"/>
    <x v="2"/>
    <x v="2"/>
    <x v="2"/>
    <x v="7"/>
    <n v="23"/>
    <m/>
    <m/>
    <x v="1"/>
    <n v="1"/>
    <n v="1678"/>
    <n v="0"/>
    <n v="1678"/>
    <s v="UPI"/>
    <x v="0"/>
    <n v="200"/>
    <x v="0"/>
    <n v="2"/>
  </r>
  <r>
    <s v="ORD10035"/>
    <d v="2026-06-25T00:00:00"/>
    <x v="5"/>
    <s v="CUST1004"/>
    <s v="Rohan"/>
    <s v="Rohan"/>
    <x v="0"/>
    <x v="0"/>
    <x v="0"/>
    <x v="18"/>
    <n v="27"/>
    <m/>
    <m/>
    <x v="4"/>
    <n v="1"/>
    <n v="2700"/>
    <n v="20"/>
    <n v="2700"/>
    <s v="COD"/>
    <x v="2"/>
    <n v="129"/>
    <x v="0"/>
    <n v="9"/>
  </r>
  <r>
    <s v="ORD10036"/>
    <d v="2026-01-16T00:00:00"/>
    <x v="3"/>
    <s v="CUST1124"/>
    <s v="Rohan"/>
    <s v="Rohan"/>
    <x v="3"/>
    <x v="3"/>
    <x v="3"/>
    <x v="4"/>
    <n v="29"/>
    <m/>
    <m/>
    <x v="3"/>
    <n v="1"/>
    <n v="2271"/>
    <n v="20"/>
    <n v="2271"/>
    <s v="Card"/>
    <x v="1"/>
    <n v="135"/>
    <x v="0"/>
    <n v="4"/>
  </r>
  <r>
    <s v="ORD10037"/>
    <d v="2026-02-02T00:00:00"/>
    <x v="1"/>
    <s v="CUST1008"/>
    <s v="Arjun"/>
    <s v="Arjun"/>
    <x v="4"/>
    <x v="4"/>
    <x v="4"/>
    <x v="19"/>
    <n v="28"/>
    <m/>
    <m/>
    <x v="3"/>
    <n v="1"/>
    <n v="1103"/>
    <n v="25"/>
    <n v="1103"/>
    <s v="COD"/>
    <x v="2"/>
    <n v="129"/>
    <x v="0"/>
    <n v="3"/>
  </r>
  <r>
    <s v="ORD10038"/>
    <d v="2026-04-03T00:00:00"/>
    <x v="0"/>
    <s v="CUST1157"/>
    <s v="Riya"/>
    <s v="Riya"/>
    <x v="0"/>
    <x v="0"/>
    <x v="0"/>
    <x v="12"/>
    <n v="41"/>
    <m/>
    <m/>
    <x v="0"/>
    <n v="1"/>
    <n v="33474"/>
    <n v="0"/>
    <n v="33474"/>
    <s v="Card"/>
    <x v="1"/>
    <n v="135"/>
    <x v="0"/>
    <n v="4"/>
  </r>
  <r>
    <s v="ORD10039"/>
    <d v="2026-04-30T00:00:00"/>
    <x v="0"/>
    <s v="CUST1096"/>
    <s v="Nikhil"/>
    <s v="Nikhil"/>
    <x v="6"/>
    <x v="1"/>
    <x v="6"/>
    <x v="7"/>
    <n v="23"/>
    <m/>
    <m/>
    <x v="1"/>
    <n v="1"/>
    <n v="403"/>
    <n v="15"/>
    <n v="403"/>
    <s v="COD"/>
    <x v="2"/>
    <n v="129"/>
    <x v="2"/>
    <n v="1"/>
  </r>
  <r>
    <s v="ORD10040"/>
    <d v="2026-06-01T00:00:00"/>
    <x v="5"/>
    <s v="CUST1113"/>
    <s v="Sneha"/>
    <s v="Sneha"/>
    <x v="5"/>
    <x v="5"/>
    <x v="5"/>
    <x v="20"/>
    <n v="34"/>
    <m/>
    <m/>
    <x v="3"/>
    <n v="2"/>
    <n v="1468"/>
    <n v="15"/>
    <n v="2936"/>
    <s v="UPI"/>
    <x v="0"/>
    <n v="200"/>
    <x v="0"/>
    <n v="2"/>
  </r>
  <r>
    <s v="ORD10041"/>
    <d v="2026-03-03T00:00:00"/>
    <x v="4"/>
    <s v="CUST1128"/>
    <s v="Arjun"/>
    <s v="Arjun"/>
    <x v="4"/>
    <x v="4"/>
    <x v="4"/>
    <x v="18"/>
    <n v="27"/>
    <m/>
    <m/>
    <x v="4"/>
    <n v="1"/>
    <n v="3100"/>
    <n v="0"/>
    <n v="3100"/>
    <s v="Net Banking"/>
    <x v="3"/>
    <n v="36"/>
    <x v="0"/>
    <n v="5"/>
  </r>
  <r>
    <s v="ORD10042"/>
    <d v="2026-02-21T00:00:00"/>
    <x v="1"/>
    <s v="CUST1151"/>
    <s v="Simran"/>
    <s v="Simran"/>
    <x v="7"/>
    <x v="6"/>
    <x v="7"/>
    <x v="19"/>
    <n v="28"/>
    <m/>
    <m/>
    <x v="3"/>
    <n v="1"/>
    <n v="592"/>
    <n v="5"/>
    <n v="592"/>
    <s v="Card"/>
    <x v="1"/>
    <n v="135"/>
    <x v="0"/>
    <n v="3"/>
  </r>
  <r>
    <s v="ORD10043"/>
    <d v="2026-05-24T00:00:00"/>
    <x v="2"/>
    <s v="CUST1076"/>
    <s v="Nikhil"/>
    <s v="Nikhil"/>
    <x v="0"/>
    <x v="0"/>
    <x v="0"/>
    <x v="12"/>
    <n v="41"/>
    <m/>
    <m/>
    <x v="0"/>
    <n v="1"/>
    <n v="46025"/>
    <n v="10"/>
    <n v="46025"/>
    <s v="Card"/>
    <x v="1"/>
    <n v="135"/>
    <x v="0"/>
    <n v="2"/>
  </r>
  <r>
    <s v="ORD10044"/>
    <d v="2026-01-09T00:00:00"/>
    <x v="3"/>
    <s v="CUST1122"/>
    <s v="Rahul"/>
    <s v="Rahul"/>
    <x v="0"/>
    <x v="0"/>
    <x v="0"/>
    <x v="19"/>
    <n v="28"/>
    <m/>
    <m/>
    <x v="3"/>
    <n v="1"/>
    <n v="665"/>
    <n v="15"/>
    <n v="665"/>
    <s v="UPI"/>
    <x v="0"/>
    <n v="200"/>
    <x v="0"/>
    <n v="3"/>
  </r>
  <r>
    <s v="ORD10045"/>
    <d v="2026-01-05T00:00:00"/>
    <x v="3"/>
    <s v="CUST1019"/>
    <s v="Meera"/>
    <s v="Meera"/>
    <x v="4"/>
    <x v="4"/>
    <x v="4"/>
    <x v="0"/>
    <n v="55"/>
    <m/>
    <m/>
    <x v="0"/>
    <n v="3"/>
    <n v="1200"/>
    <n v="5"/>
    <n v="3600"/>
    <s v="COD"/>
    <x v="2"/>
    <n v="129"/>
    <x v="0"/>
    <n v="5"/>
  </r>
  <r>
    <s v="ORD10046"/>
    <d v="2026-04-18T00:00:00"/>
    <x v="0"/>
    <s v="CUST1058"/>
    <s v="Varun"/>
    <s v="Varun"/>
    <x v="7"/>
    <x v="6"/>
    <x v="7"/>
    <x v="16"/>
    <n v="44"/>
    <m/>
    <m/>
    <x v="4"/>
    <n v="1"/>
    <n v="2300"/>
    <n v="10"/>
    <n v="2300"/>
    <s v="UPI"/>
    <x v="0"/>
    <n v="200"/>
    <x v="0"/>
    <n v="3"/>
  </r>
  <r>
    <s v="ORD10047"/>
    <d v="2026-05-28T00:00:00"/>
    <x v="2"/>
    <s v="CUST1166"/>
    <s v="Aman"/>
    <s v="Aman"/>
    <x v="3"/>
    <x v="3"/>
    <x v="3"/>
    <x v="21"/>
    <n v="35"/>
    <m/>
    <m/>
    <x v="0"/>
    <n v="2"/>
    <n v="11958"/>
    <n v="10"/>
    <n v="23916"/>
    <s v="Net Banking"/>
    <x v="3"/>
    <n v="36"/>
    <x v="0"/>
    <n v="4"/>
  </r>
  <r>
    <s v="ORD10048"/>
    <d v="2026-04-27T00:00:00"/>
    <x v="0"/>
    <s v="CUST1164"/>
    <s v="Rohan"/>
    <s v="Rohan"/>
    <x v="1"/>
    <x v="1"/>
    <x v="1"/>
    <x v="0"/>
    <n v="55"/>
    <m/>
    <m/>
    <x v="0"/>
    <n v="1"/>
    <n v="51404"/>
    <n v="0"/>
    <n v="51404"/>
    <s v="Net Banking"/>
    <x v="3"/>
    <n v="36"/>
    <x v="1"/>
    <n v="0"/>
  </r>
  <r>
    <s v="ORD10049"/>
    <d v="2026-05-27T00:00:00"/>
    <x v="2"/>
    <s v="CUST1144"/>
    <s v="Rohan"/>
    <s v="Rohan"/>
    <x v="1"/>
    <x v="1"/>
    <x v="1"/>
    <x v="4"/>
    <n v="29"/>
    <m/>
    <m/>
    <x v="3"/>
    <n v="2"/>
    <n v="1468"/>
    <n v="10"/>
    <n v="2936"/>
    <s v="Card"/>
    <x v="1"/>
    <n v="135"/>
    <x v="0"/>
    <n v="3"/>
  </r>
  <r>
    <s v="ORD10050"/>
    <d v="2026-01-12T00:00:00"/>
    <x v="3"/>
    <s v="CUST1101"/>
    <s v="Ananya"/>
    <s v="Ananya"/>
    <x v="1"/>
    <x v="1"/>
    <x v="1"/>
    <x v="2"/>
    <n v="36"/>
    <m/>
    <m/>
    <x v="0"/>
    <n v="1"/>
    <n v="42439"/>
    <n v="5"/>
    <n v="42439"/>
    <s v="UPI"/>
    <x v="0"/>
    <n v="200"/>
    <x v="0"/>
    <n v="5"/>
  </r>
  <r>
    <s v="ORD10051"/>
    <d v="2026-02-10T00:00:00"/>
    <x v="1"/>
    <s v="CUST1046"/>
    <s v="Aman"/>
    <s v="Aman"/>
    <x v="2"/>
    <x v="2"/>
    <x v="2"/>
    <x v="17"/>
    <n v="41"/>
    <m/>
    <m/>
    <x v="4"/>
    <n v="1"/>
    <n v="1300"/>
    <n v="15"/>
    <n v="1300"/>
    <s v="Card"/>
    <x v="1"/>
    <n v="135"/>
    <x v="0"/>
    <n v="2"/>
  </r>
  <r>
    <s v="ORD10052"/>
    <d v="2026-02-04T00:00:00"/>
    <x v="1"/>
    <s v="CUST1118"/>
    <s v="Varun"/>
    <s v="Varun"/>
    <x v="0"/>
    <x v="0"/>
    <x v="0"/>
    <x v="13"/>
    <n v="28"/>
    <m/>
    <m/>
    <x v="2"/>
    <n v="3"/>
    <n v="850"/>
    <n v="0"/>
    <n v="2550"/>
    <s v="COD"/>
    <x v="2"/>
    <n v="129"/>
    <x v="0"/>
    <n v="1"/>
  </r>
  <r>
    <s v="ORD10053"/>
    <d v="2026-03-06T00:00:00"/>
    <x v="4"/>
    <s v="CUST1161"/>
    <s v="Ananya"/>
    <s v="Ananya"/>
    <x v="4"/>
    <x v="4"/>
    <x v="4"/>
    <x v="10"/>
    <n v="30"/>
    <m/>
    <m/>
    <x v="2"/>
    <n v="2"/>
    <n v="1150"/>
    <n v="5"/>
    <n v="2300"/>
    <s v="COD"/>
    <x v="2"/>
    <n v="129"/>
    <x v="0"/>
    <n v="1"/>
  </r>
  <r>
    <s v="ORD10054"/>
    <d v="2026-04-08T00:00:00"/>
    <x v="0"/>
    <s v="CUST1053"/>
    <s v="Sneha"/>
    <s v="Sneha"/>
    <x v="3"/>
    <x v="3"/>
    <x v="3"/>
    <x v="0"/>
    <n v="55"/>
    <m/>
    <m/>
    <x v="0"/>
    <n v="1"/>
    <n v="28095"/>
    <n v="10"/>
    <n v="28095"/>
    <s v="Card"/>
    <x v="1"/>
    <n v="135"/>
    <x v="0"/>
    <n v="4"/>
  </r>
  <r>
    <s v="ORD10055"/>
    <d v="2026-06-14T00:00:00"/>
    <x v="5"/>
    <s v="CUST1113"/>
    <s v="Sneha"/>
    <s v="Sneha"/>
    <x v="6"/>
    <x v="1"/>
    <x v="6"/>
    <x v="18"/>
    <n v="27"/>
    <m/>
    <m/>
    <x v="4"/>
    <n v="1"/>
    <n v="1800"/>
    <n v="5"/>
    <n v="1800"/>
    <s v="UPI"/>
    <x v="0"/>
    <n v="200"/>
    <x v="0"/>
    <n v="6"/>
  </r>
  <r>
    <s v="ORD10056"/>
    <d v="2026-02-01T00:00:00"/>
    <x v="1"/>
    <s v="CUST1057"/>
    <s v="Riya"/>
    <s v="Riya"/>
    <x v="3"/>
    <x v="3"/>
    <x v="3"/>
    <x v="16"/>
    <n v="44"/>
    <m/>
    <m/>
    <x v="4"/>
    <n v="1"/>
    <n v="3000"/>
    <n v="15"/>
    <n v="3000"/>
    <s v="Card"/>
    <x v="1"/>
    <n v="135"/>
    <x v="0"/>
    <n v="7"/>
  </r>
  <r>
    <s v="ORD10057"/>
    <d v="2026-05-25T00:00:00"/>
    <x v="2"/>
    <s v="CUST1038"/>
    <s v="Varun"/>
    <s v="Varun"/>
    <x v="3"/>
    <x v="3"/>
    <x v="3"/>
    <x v="0"/>
    <n v="55"/>
    <m/>
    <m/>
    <x v="0"/>
    <n v="1"/>
    <n v="37060"/>
    <n v="15"/>
    <n v="37060"/>
    <s v="COD"/>
    <x v="2"/>
    <n v="129"/>
    <x v="0"/>
    <n v="6"/>
  </r>
  <r>
    <s v="ORD10058"/>
    <d v="2026-02-19T00:00:00"/>
    <x v="1"/>
    <s v="CUST1051"/>
    <s v="Simran"/>
    <s v="Simran"/>
    <x v="7"/>
    <x v="6"/>
    <x v="7"/>
    <x v="5"/>
    <n v="31"/>
    <m/>
    <m/>
    <x v="4"/>
    <n v="3"/>
    <n v="2300"/>
    <n v="5"/>
    <n v="6900"/>
    <s v="Card"/>
    <x v="1"/>
    <n v="135"/>
    <x v="0"/>
    <n v="7"/>
  </r>
  <r>
    <s v="ORD10059"/>
    <d v="2026-03-22T00:00:00"/>
    <x v="4"/>
    <s v="CUST1126"/>
    <s v="Aman"/>
    <s v="Aman"/>
    <x v="1"/>
    <x v="1"/>
    <x v="1"/>
    <x v="21"/>
    <n v="35"/>
    <m/>
    <m/>
    <x v="0"/>
    <n v="2"/>
    <n v="17337"/>
    <n v="0"/>
    <n v="34674"/>
    <s v="UPI"/>
    <x v="0"/>
    <n v="200"/>
    <x v="0"/>
    <n v="2"/>
  </r>
  <r>
    <s v="ORD10060"/>
    <d v="2026-02-12T00:00:00"/>
    <x v="1"/>
    <s v="CUST1096"/>
    <s v="Nikhil"/>
    <s v="Nikhil"/>
    <x v="2"/>
    <x v="2"/>
    <x v="2"/>
    <x v="21"/>
    <n v="35"/>
    <m/>
    <m/>
    <x v="0"/>
    <n v="1"/>
    <n v="40646"/>
    <n v="0"/>
    <n v="40646"/>
    <s v="UPI"/>
    <x v="0"/>
    <n v="200"/>
    <x v="0"/>
    <n v="3"/>
  </r>
  <r>
    <s v="ORD10061"/>
    <d v="2026-06-04T00:00:00"/>
    <x v="5"/>
    <s v="CUST1149"/>
    <s v="Pooja"/>
    <s v="Pooja"/>
    <x v="6"/>
    <x v="1"/>
    <x v="6"/>
    <x v="12"/>
    <n v="41"/>
    <m/>
    <m/>
    <x v="0"/>
    <n v="1"/>
    <n v="33474"/>
    <n v="0"/>
    <n v="33474"/>
    <s v="UPI"/>
    <x v="0"/>
    <n v="200"/>
    <x v="0"/>
    <n v="2"/>
  </r>
  <r>
    <s v="ORD10062"/>
    <d v="2026-03-11T00:00:00"/>
    <x v="4"/>
    <s v="CUST1056"/>
    <s v="Nikhil"/>
    <s v="Nikhil"/>
    <x v="3"/>
    <x v="3"/>
    <x v="3"/>
    <x v="16"/>
    <n v="44"/>
    <m/>
    <m/>
    <x v="4"/>
    <n v="1"/>
    <n v="1800"/>
    <n v="10"/>
    <n v="1800"/>
    <s v="Card"/>
    <x v="1"/>
    <n v="135"/>
    <x v="0"/>
    <n v="5"/>
  </r>
  <r>
    <s v="ORD10063"/>
    <d v="2026-04-04T00:00:00"/>
    <x v="0"/>
    <s v="CUST1047"/>
    <s v="Kavya"/>
    <s v="Kavya"/>
    <x v="3"/>
    <x v="3"/>
    <x v="3"/>
    <x v="17"/>
    <n v="41"/>
    <m/>
    <m/>
    <x v="4"/>
    <n v="2"/>
    <n v="3000"/>
    <n v="0"/>
    <n v="6000"/>
    <s v="Card"/>
    <x v="1"/>
    <n v="135"/>
    <x v="2"/>
    <n v="6"/>
  </r>
  <r>
    <s v="ORD10064"/>
    <d v="2026-05-07T00:00:00"/>
    <x v="2"/>
    <s v="CUST1151"/>
    <s v="Simran"/>
    <s v="Simran"/>
    <x v="5"/>
    <x v="5"/>
    <x v="5"/>
    <x v="2"/>
    <n v="36"/>
    <m/>
    <m/>
    <x v="0"/>
    <n v="1"/>
    <n v="40646"/>
    <n v="15"/>
    <n v="40646"/>
    <s v="UPI"/>
    <x v="0"/>
    <n v="200"/>
    <x v="0"/>
    <n v="4"/>
  </r>
  <r>
    <s v="ORD10065"/>
    <d v="2026-04-17T00:00:00"/>
    <x v="0"/>
    <s v="CUST1039"/>
    <s v="Meera"/>
    <s v="Meera"/>
    <x v="4"/>
    <x v="4"/>
    <x v="4"/>
    <x v="12"/>
    <n v="41"/>
    <m/>
    <m/>
    <x v="0"/>
    <n v="1"/>
    <n v="10165"/>
    <n v="5"/>
    <n v="10165"/>
    <s v="UPI"/>
    <x v="0"/>
    <n v="200"/>
    <x v="0"/>
    <n v="2"/>
  </r>
  <r>
    <s v="ORD10066"/>
    <d v="2026-01-17T00:00:00"/>
    <x v="3"/>
    <s v="CUST1111"/>
    <s v="Simran"/>
    <s v="Simran"/>
    <x v="3"/>
    <x v="3"/>
    <x v="3"/>
    <x v="22"/>
    <n v="54"/>
    <m/>
    <m/>
    <x v="4"/>
    <n v="3"/>
    <n v="2900"/>
    <n v="10"/>
    <n v="8700"/>
    <s v="Card"/>
    <x v="1"/>
    <n v="135"/>
    <x v="0"/>
    <n v="3"/>
  </r>
  <r>
    <s v="ORD10067"/>
    <d v="2026-02-03T00:00:00"/>
    <x v="1"/>
    <s v="CUST1059"/>
    <s v="Meera"/>
    <s v="Meera"/>
    <x v="7"/>
    <x v="6"/>
    <x v="7"/>
    <x v="20"/>
    <n v="34"/>
    <m/>
    <m/>
    <x v="3"/>
    <n v="1"/>
    <n v="1614"/>
    <n v="5"/>
    <n v="1614"/>
    <s v="COD"/>
    <x v="2"/>
    <n v="129"/>
    <x v="0"/>
    <n v="3"/>
  </r>
  <r>
    <s v="ORD10068"/>
    <d v="2026-04-19T00:00:00"/>
    <x v="0"/>
    <s v="CUST1075"/>
    <s v="Isha"/>
    <s v="Isha"/>
    <x v="2"/>
    <x v="2"/>
    <x v="2"/>
    <x v="13"/>
    <n v="28"/>
    <m/>
    <m/>
    <x v="2"/>
    <n v="1"/>
    <n v="1200"/>
    <n v="5"/>
    <n v="1200"/>
    <s v="Card"/>
    <x v="1"/>
    <n v="135"/>
    <x v="0"/>
    <n v="2"/>
  </r>
  <r>
    <s v="ORD10069"/>
    <d v="2026-01-04T00:00:00"/>
    <x v="3"/>
    <s v="CUST1133"/>
    <s v="Sneha"/>
    <s v="Sneha"/>
    <x v="3"/>
    <x v="3"/>
    <x v="3"/>
    <x v="10"/>
    <n v="30"/>
    <m/>
    <m/>
    <x v="2"/>
    <n v="2"/>
    <n v="1350"/>
    <n v="10"/>
    <n v="2700"/>
    <s v="Card"/>
    <x v="1"/>
    <n v="135"/>
    <x v="0"/>
    <n v="3"/>
  </r>
  <r>
    <s v="ORD10070"/>
    <d v="2026-03-11T00:00:00"/>
    <x v="4"/>
    <s v="CUST1100"/>
    <s v="Aarav"/>
    <s v="Aarav"/>
    <x v="1"/>
    <x v="1"/>
    <x v="1"/>
    <x v="11"/>
    <n v="17"/>
    <m/>
    <m/>
    <x v="1"/>
    <n v="2"/>
    <n v="250"/>
    <n v="10"/>
    <n v="500"/>
    <s v="COD"/>
    <x v="2"/>
    <n v="129"/>
    <x v="0"/>
    <n v="3"/>
  </r>
  <r>
    <s v="ORD10071"/>
    <d v="2026-03-18T00:00:00"/>
    <x v="4"/>
    <s v="CUST1130"/>
    <s v="Aditya"/>
    <s v="Aditya"/>
    <x v="4"/>
    <x v="4"/>
    <x v="4"/>
    <x v="12"/>
    <n v="41"/>
    <m/>
    <m/>
    <x v="0"/>
    <n v="1"/>
    <n v="42439"/>
    <n v="0"/>
    <n v="42439"/>
    <s v="Net Banking"/>
    <x v="3"/>
    <n v="36"/>
    <x v="0"/>
    <n v="2"/>
  </r>
  <r>
    <s v="ORD10072"/>
    <d v="2026-03-25T00:00:00"/>
    <x v="4"/>
    <s v="CUST1076"/>
    <s v="Nikhil"/>
    <s v="Nikhil"/>
    <x v="2"/>
    <x v="2"/>
    <x v="2"/>
    <x v="4"/>
    <n v="29"/>
    <m/>
    <m/>
    <x v="3"/>
    <n v="1"/>
    <n v="884"/>
    <n v="10"/>
    <n v="884"/>
    <s v="UPI"/>
    <x v="0"/>
    <n v="200"/>
    <x v="0"/>
    <n v="4"/>
  </r>
  <r>
    <s v="ORD10073"/>
    <d v="2026-02-04T00:00:00"/>
    <x v="1"/>
    <s v="CUST1165"/>
    <s v="Neha"/>
    <s v="Neha"/>
    <x v="5"/>
    <x v="5"/>
    <x v="5"/>
    <x v="11"/>
    <n v="17"/>
    <m/>
    <m/>
    <x v="1"/>
    <n v="1"/>
    <n v="1678"/>
    <n v="15"/>
    <n v="1678"/>
    <s v="UPI"/>
    <x v="0"/>
    <n v="200"/>
    <x v="0"/>
    <n v="3"/>
  </r>
  <r>
    <s v="ORD10074"/>
    <d v="2026-01-05T00:00:00"/>
    <x v="3"/>
    <s v="CUST1166"/>
    <s v="Aman"/>
    <s v="Aman"/>
    <x v="2"/>
    <x v="2"/>
    <x v="2"/>
    <x v="20"/>
    <n v="34"/>
    <m/>
    <m/>
    <x v="3"/>
    <n v="2"/>
    <n v="2052"/>
    <n v="5"/>
    <n v="4104"/>
    <s v="COD"/>
    <x v="2"/>
    <n v="129"/>
    <x v="0"/>
    <n v="3"/>
  </r>
  <r>
    <s v="ORD10075"/>
    <d v="2026-04-07T00:00:00"/>
    <x v="0"/>
    <s v="CUST1179"/>
    <s v="Meera"/>
    <s v="Meera"/>
    <x v="6"/>
    <x v="1"/>
    <x v="6"/>
    <x v="4"/>
    <n v="29"/>
    <m/>
    <m/>
    <x v="3"/>
    <n v="3"/>
    <n v="1468"/>
    <n v="5"/>
    <n v="4404"/>
    <s v="Card"/>
    <x v="1"/>
    <n v="135"/>
    <x v="1"/>
    <n v="0"/>
  </r>
  <r>
    <s v="ORD10076"/>
    <d v="2026-02-08T00:00:00"/>
    <x v="1"/>
    <s v="CUST1155"/>
    <s v="Isha"/>
    <s v="Isha"/>
    <x v="3"/>
    <x v="3"/>
    <x v="3"/>
    <x v="10"/>
    <n v="30"/>
    <m/>
    <m/>
    <x v="2"/>
    <n v="2"/>
    <n v="500"/>
    <n v="0"/>
    <n v="1000"/>
    <s v="COD"/>
    <x v="2"/>
    <n v="129"/>
    <x v="0"/>
    <n v="1"/>
  </r>
  <r>
    <s v="ORD10077"/>
    <d v="2026-06-13T00:00:00"/>
    <x v="5"/>
    <s v="CUST1118"/>
    <s v="Varun"/>
    <s v="Varun"/>
    <x v="1"/>
    <x v="1"/>
    <x v="1"/>
    <x v="14"/>
    <n v="26"/>
    <m/>
    <m/>
    <x v="1"/>
    <n v="2"/>
    <n v="454"/>
    <n v="0"/>
    <n v="908"/>
    <s v="UPI"/>
    <x v="0"/>
    <n v="200"/>
    <x v="0"/>
    <n v="5"/>
  </r>
  <r>
    <s v="ORD10078"/>
    <d v="2026-02-07T00:00:00"/>
    <x v="1"/>
    <s v="CUST1068"/>
    <s v="Arjun"/>
    <s v="Arjun"/>
    <x v="4"/>
    <x v="4"/>
    <x v="4"/>
    <x v="18"/>
    <n v="27"/>
    <m/>
    <m/>
    <x v="4"/>
    <n v="1"/>
    <n v="2800"/>
    <n v="10"/>
    <n v="2800"/>
    <s v="Card"/>
    <x v="1"/>
    <n v="135"/>
    <x v="0"/>
    <n v="4"/>
  </r>
  <r>
    <s v="ORD10079"/>
    <d v="2026-03-17T00:00:00"/>
    <x v="4"/>
    <s v="CUST1134"/>
    <s v="Karan"/>
    <s v="Karan"/>
    <x v="0"/>
    <x v="0"/>
    <x v="0"/>
    <x v="23"/>
    <n v="14"/>
    <m/>
    <m/>
    <x v="0"/>
    <n v="1"/>
    <n v="33474"/>
    <n v="15"/>
    <n v="33474"/>
    <s v="Card"/>
    <x v="1"/>
    <n v="135"/>
    <x v="0"/>
    <n v="3"/>
  </r>
  <r>
    <s v="ORD10080"/>
    <d v="2026-01-23T00:00:00"/>
    <x v="3"/>
    <s v="CUST1060"/>
    <s v="Aarav"/>
    <s v="Aarav"/>
    <x v="4"/>
    <x v="4"/>
    <x v="4"/>
    <x v="15"/>
    <n v="10"/>
    <m/>
    <m/>
    <x v="2"/>
    <n v="1"/>
    <n v="1400"/>
    <n v="10"/>
    <n v="1400"/>
    <s v="Card"/>
    <x v="1"/>
    <n v="135"/>
    <x v="0"/>
    <n v="2"/>
  </r>
  <r>
    <s v="ORD10081"/>
    <d v="2026-06-20T00:00:00"/>
    <x v="5"/>
    <s v="CUST1029"/>
    <s v="Pooja"/>
    <s v="Pooja"/>
    <x v="1"/>
    <x v="1"/>
    <x v="1"/>
    <x v="20"/>
    <n v="34"/>
    <m/>
    <m/>
    <x v="3"/>
    <n v="3"/>
    <n v="592"/>
    <n v="15"/>
    <n v="1776"/>
    <s v="UPI"/>
    <x v="0"/>
    <n v="200"/>
    <x v="0"/>
    <n v="2"/>
  </r>
  <r>
    <s v="ORD10082"/>
    <d v="2026-02-09T00:00:00"/>
    <x v="1"/>
    <s v="CUST1001"/>
    <s v="Ananya"/>
    <s v="Ananya"/>
    <x v="0"/>
    <x v="0"/>
    <x v="0"/>
    <x v="8"/>
    <n v="14"/>
    <m/>
    <m/>
    <x v="2"/>
    <n v="1"/>
    <n v="800"/>
    <n v="0"/>
    <n v="800"/>
    <s v="UPI"/>
    <x v="0"/>
    <n v="200"/>
    <x v="0"/>
    <n v="4"/>
  </r>
  <r>
    <s v="ORD10083"/>
    <d v="2026-03-04T00:00:00"/>
    <x v="4"/>
    <s v="CUST1025"/>
    <s v="Neha"/>
    <s v="Neha"/>
    <x v="2"/>
    <x v="2"/>
    <x v="2"/>
    <x v="0"/>
    <n v="55"/>
    <m/>
    <m/>
    <x v="0"/>
    <n v="1"/>
    <n v="26302"/>
    <n v="5"/>
    <n v="26302"/>
    <s v="COD"/>
    <x v="2"/>
    <n v="129"/>
    <x v="0"/>
    <n v="2"/>
  </r>
  <r>
    <s v="ORD10084"/>
    <d v="2026-03-31T00:00:00"/>
    <x v="4"/>
    <s v="CUST1179"/>
    <s v="Meera"/>
    <s v="Meera"/>
    <x v="8"/>
    <x v="7"/>
    <x v="2"/>
    <x v="16"/>
    <n v="44"/>
    <m/>
    <m/>
    <x v="4"/>
    <n v="2"/>
    <n v="3100"/>
    <n v="10"/>
    <n v="6200"/>
    <s v="UPI"/>
    <x v="0"/>
    <n v="200"/>
    <x v="0"/>
    <n v="2"/>
  </r>
  <r>
    <s v="ORD10085"/>
    <d v="2026-06-01T00:00:00"/>
    <x v="5"/>
    <s v="CUST1081"/>
    <s v="Ananya"/>
    <s v="Ananya"/>
    <x v="7"/>
    <x v="6"/>
    <x v="7"/>
    <x v="0"/>
    <n v="55"/>
    <m/>
    <m/>
    <x v="0"/>
    <n v="1"/>
    <n v="42439"/>
    <n v="15"/>
    <n v="42439"/>
    <s v="UPI"/>
    <x v="0"/>
    <n v="200"/>
    <x v="0"/>
    <n v="4"/>
  </r>
  <r>
    <s v="ORD10086"/>
    <d v="2026-03-25T00:00:00"/>
    <x v="4"/>
    <s v="CUST1179"/>
    <s v="Meera"/>
    <s v="Meera"/>
    <x v="4"/>
    <x v="4"/>
    <x v="4"/>
    <x v="20"/>
    <n v="34"/>
    <m/>
    <m/>
    <x v="3"/>
    <n v="4"/>
    <n v="2490"/>
    <n v="10"/>
    <n v="9960"/>
    <s v="Card"/>
    <x v="1"/>
    <n v="135"/>
    <x v="0"/>
    <n v="2"/>
  </r>
  <r>
    <s v="ORD10087"/>
    <d v="2026-05-03T00:00:00"/>
    <x v="2"/>
    <s v="CUST1113"/>
    <s v="Sneha"/>
    <s v="Sneha"/>
    <x v="0"/>
    <x v="0"/>
    <x v="0"/>
    <x v="18"/>
    <n v="27"/>
    <m/>
    <m/>
    <x v="4"/>
    <n v="1"/>
    <n v="2100"/>
    <n v="10"/>
    <n v="2100"/>
    <s v="Card"/>
    <x v="1"/>
    <n v="135"/>
    <x v="0"/>
    <n v="4"/>
  </r>
  <r>
    <s v="ORD10088"/>
    <d v="2026-04-24T00:00:00"/>
    <x v="0"/>
    <s v="CUST1110"/>
    <s v="Aditya"/>
    <s v="Aditya"/>
    <x v="4"/>
    <x v="4"/>
    <x v="4"/>
    <x v="11"/>
    <n v="17"/>
    <m/>
    <m/>
    <x v="1"/>
    <n v="1"/>
    <n v="250"/>
    <n v="0"/>
    <n v="250"/>
    <s v="COD"/>
    <x v="2"/>
    <n v="129"/>
    <x v="0"/>
    <n v="4"/>
  </r>
  <r>
    <s v="ORD10089"/>
    <d v="2026-06-11T00:00:00"/>
    <x v="5"/>
    <s v="CUST1072"/>
    <s v="Vivek"/>
    <s v="Vivek"/>
    <x v="4"/>
    <x v="4"/>
    <x v="4"/>
    <x v="2"/>
    <n v="36"/>
    <m/>
    <m/>
    <x v="0"/>
    <n v="2"/>
    <n v="31681"/>
    <n v="5"/>
    <n v="63362"/>
    <s v="Card"/>
    <x v="1"/>
    <n v="135"/>
    <x v="0"/>
    <n v="4"/>
  </r>
  <r>
    <s v="ORD10090"/>
    <d v="2026-02-23T00:00:00"/>
    <x v="1"/>
    <s v="CUST1032"/>
    <s v="Vivek"/>
    <s v="Vivek"/>
    <x v="2"/>
    <x v="2"/>
    <x v="2"/>
    <x v="6"/>
    <n v="33"/>
    <m/>
    <m/>
    <x v="3"/>
    <n v="1"/>
    <n v="300"/>
    <n v="15"/>
    <n v="300"/>
    <s v="COD"/>
    <x v="2"/>
    <n v="129"/>
    <x v="2"/>
    <n v="2"/>
  </r>
  <r>
    <s v="ORD10091"/>
    <d v="2026-04-30T00:00:00"/>
    <x v="0"/>
    <s v="CUST1085"/>
    <s v="Neha"/>
    <s v="Neha"/>
    <x v="0"/>
    <x v="0"/>
    <x v="0"/>
    <x v="15"/>
    <n v="10"/>
    <m/>
    <m/>
    <x v="2"/>
    <n v="1"/>
    <n v="350"/>
    <n v="5"/>
    <n v="350"/>
    <s v="UPI"/>
    <x v="0"/>
    <n v="200"/>
    <x v="0"/>
    <n v="3"/>
  </r>
  <r>
    <s v="ORD10092"/>
    <d v="2026-05-27T00:00:00"/>
    <x v="2"/>
    <s v="CUST1130"/>
    <s v="Aditya"/>
    <s v="Aditya"/>
    <x v="3"/>
    <x v="3"/>
    <x v="3"/>
    <x v="13"/>
    <n v="28"/>
    <m/>
    <m/>
    <x v="2"/>
    <n v="3"/>
    <n v="1000"/>
    <n v="15"/>
    <n v="3000"/>
    <s v="UPI"/>
    <x v="0"/>
    <n v="200"/>
    <x v="0"/>
    <n v="3"/>
  </r>
  <r>
    <s v="ORD10093"/>
    <d v="2026-04-29T00:00:00"/>
    <x v="0"/>
    <s v="CUST1059"/>
    <s v="Meera"/>
    <s v="Meera"/>
    <x v="2"/>
    <x v="2"/>
    <x v="2"/>
    <x v="4"/>
    <n v="29"/>
    <m/>
    <m/>
    <x v="3"/>
    <n v="2"/>
    <n v="373"/>
    <n v="5"/>
    <n v="746"/>
    <s v="Net Banking"/>
    <x v="3"/>
    <n v="36"/>
    <x v="0"/>
    <n v="4"/>
  </r>
  <r>
    <s v="ORD10094"/>
    <d v="2026-05-08T00:00:00"/>
    <x v="2"/>
    <s v="CUST1022"/>
    <s v="Rahul"/>
    <s v="Rahul"/>
    <x v="3"/>
    <x v="3"/>
    <x v="3"/>
    <x v="17"/>
    <n v="41"/>
    <m/>
    <m/>
    <x v="4"/>
    <n v="2"/>
    <n v="1800"/>
    <n v="10"/>
    <n v="3600"/>
    <s v="UPI"/>
    <x v="0"/>
    <n v="200"/>
    <x v="0"/>
    <n v="3"/>
  </r>
  <r>
    <s v="ORD10095"/>
    <d v="2026-01-04T00:00:00"/>
    <x v="3"/>
    <s v="CUST1165"/>
    <s v="Neha"/>
    <s v="Neha"/>
    <x v="3"/>
    <x v="3"/>
    <x v="3"/>
    <x v="3"/>
    <n v="29"/>
    <m/>
    <m/>
    <x v="2"/>
    <n v="2"/>
    <n v="1250"/>
    <n v="15"/>
    <n v="2500"/>
    <s v="Card"/>
    <x v="1"/>
    <n v="135"/>
    <x v="0"/>
    <n v="1"/>
  </r>
  <r>
    <s v="ORD10096"/>
    <d v="2026-06-02T00:00:00"/>
    <x v="5"/>
    <s v="CUST1098"/>
    <s v="Varun"/>
    <s v="Varun"/>
    <x v="4"/>
    <x v="4"/>
    <x v="4"/>
    <x v="14"/>
    <n v="26"/>
    <m/>
    <m/>
    <x v="1"/>
    <n v="1"/>
    <n v="709"/>
    <n v="5"/>
    <n v="709"/>
    <s v="UPI"/>
    <x v="0"/>
    <n v="200"/>
    <x v="0"/>
    <n v="2"/>
  </r>
  <r>
    <s v="ORD10097"/>
    <d v="2026-01-12T00:00:00"/>
    <x v="3"/>
    <s v="CUST1051"/>
    <s v="Simran"/>
    <s v="Simran"/>
    <x v="7"/>
    <x v="6"/>
    <x v="7"/>
    <x v="16"/>
    <n v="44"/>
    <m/>
    <m/>
    <x v="4"/>
    <n v="2"/>
    <n v="1700"/>
    <n v="5"/>
    <n v="3400"/>
    <s v="COD"/>
    <x v="2"/>
    <n v="129"/>
    <x v="0"/>
    <n v="5"/>
  </r>
  <r>
    <s v="ORD10098"/>
    <d v="2026-06-30T00:00:00"/>
    <x v="5"/>
    <s v="CUST1054"/>
    <s v="Karan"/>
    <s v="Karan"/>
    <x v="7"/>
    <x v="6"/>
    <x v="7"/>
    <x v="0"/>
    <n v="55"/>
    <m/>
    <m/>
    <x v="0"/>
    <n v="1"/>
    <n v="19130"/>
    <n v="5"/>
    <n v="19130"/>
    <s v="COD"/>
    <x v="2"/>
    <n v="129"/>
    <x v="0"/>
    <n v="3"/>
  </r>
  <r>
    <s v="ORD10099"/>
    <d v="2026-04-08T00:00:00"/>
    <x v="0"/>
    <s v="CUST1109"/>
    <s v="Pooja"/>
    <s v="Pooja"/>
    <x v="2"/>
    <x v="2"/>
    <x v="2"/>
    <x v="13"/>
    <n v="28"/>
    <m/>
    <m/>
    <x v="2"/>
    <n v="1"/>
    <n v="1300"/>
    <n v="0"/>
    <n v="1300"/>
    <s v="UPI"/>
    <x v="0"/>
    <n v="200"/>
    <x v="0"/>
    <n v="1"/>
  </r>
  <r>
    <s v="ORD10100"/>
    <d v="2026-06-03T00:00:00"/>
    <x v="5"/>
    <s v="CUST1131"/>
    <s v="Simran"/>
    <s v="Simran"/>
    <x v="4"/>
    <x v="4"/>
    <x v="4"/>
    <x v="17"/>
    <n v="41"/>
    <m/>
    <m/>
    <x v="4"/>
    <n v="1"/>
    <n v="500"/>
    <n v="10"/>
    <n v="500"/>
    <s v="Card"/>
    <x v="1"/>
    <n v="135"/>
    <x v="0"/>
    <n v="4"/>
  </r>
  <r>
    <s v="ORD10101"/>
    <d v="2026-04-18T00:00:00"/>
    <x v="0"/>
    <s v="CUST1047"/>
    <s v="Kavya"/>
    <s v="Kavya"/>
    <x v="6"/>
    <x v="1"/>
    <x v="6"/>
    <x v="16"/>
    <n v="44"/>
    <m/>
    <m/>
    <x v="4"/>
    <n v="1"/>
    <n v="1600"/>
    <n v="0"/>
    <n v="1600"/>
    <s v="COD"/>
    <x v="2"/>
    <n v="129"/>
    <x v="0"/>
    <n v="4"/>
  </r>
  <r>
    <s v="ORD10102"/>
    <d v="2026-01-12T00:00:00"/>
    <x v="3"/>
    <s v="CUST1089"/>
    <s v="Pooja"/>
    <s v="Pooja"/>
    <x v="7"/>
    <x v="6"/>
    <x v="7"/>
    <x v="13"/>
    <n v="28"/>
    <m/>
    <m/>
    <x v="2"/>
    <n v="2"/>
    <n v="950"/>
    <n v="10"/>
    <n v="1900"/>
    <s v="COD"/>
    <x v="2"/>
    <n v="129"/>
    <x v="0"/>
    <n v="2"/>
  </r>
  <r>
    <s v="ORD10103"/>
    <d v="2026-01-12T00:00:00"/>
    <x v="3"/>
    <s v="CUST1014"/>
    <s v="Karan"/>
    <s v="Karan"/>
    <x v="2"/>
    <x v="2"/>
    <x v="2"/>
    <x v="13"/>
    <n v="28"/>
    <m/>
    <m/>
    <x v="2"/>
    <n v="1"/>
    <n v="1400"/>
    <n v="15"/>
    <n v="1400"/>
    <s v="Net Banking"/>
    <x v="3"/>
    <n v="36"/>
    <x v="0"/>
    <n v="3"/>
  </r>
  <r>
    <s v="ORD10104"/>
    <d v="2026-03-20T00:00:00"/>
    <x v="4"/>
    <s v="CUST1146"/>
    <s v="Aman"/>
    <s v="Aman"/>
    <x v="6"/>
    <x v="1"/>
    <x v="6"/>
    <x v="16"/>
    <n v="44"/>
    <m/>
    <m/>
    <x v="4"/>
    <n v="3"/>
    <n v="3100"/>
    <n v="10"/>
    <n v="9300"/>
    <s v="COD"/>
    <x v="2"/>
    <n v="129"/>
    <x v="0"/>
    <n v="5"/>
  </r>
  <r>
    <s v="ORD10105"/>
    <d v="2026-04-13T00:00:00"/>
    <x v="0"/>
    <s v="CUST1015"/>
    <s v="Isha"/>
    <s v="Isha"/>
    <x v="3"/>
    <x v="3"/>
    <x v="3"/>
    <x v="6"/>
    <n v="33"/>
    <m/>
    <m/>
    <x v="3"/>
    <n v="1"/>
    <n v="1103"/>
    <n v="0"/>
    <n v="1103"/>
    <s v="Card"/>
    <x v="1"/>
    <n v="135"/>
    <x v="0"/>
    <n v="3"/>
  </r>
  <r>
    <s v="ORD10106"/>
    <d v="2026-04-30T00:00:00"/>
    <x v="0"/>
    <s v="CUST1055"/>
    <s v="Isha"/>
    <s v="Isha"/>
    <x v="4"/>
    <x v="4"/>
    <x v="4"/>
    <x v="7"/>
    <n v="23"/>
    <m/>
    <m/>
    <x v="1"/>
    <n v="1"/>
    <n v="862"/>
    <n v="20"/>
    <n v="862"/>
    <s v="Card"/>
    <x v="1"/>
    <n v="135"/>
    <x v="0"/>
    <n v="3"/>
  </r>
  <r>
    <s v="ORD10107"/>
    <d v="2026-06-19T00:00:00"/>
    <x v="5"/>
    <s v="CUST1016"/>
    <s v="Nikhil"/>
    <s v="Nikhil"/>
    <x v="1"/>
    <x v="1"/>
    <x v="1"/>
    <x v="0"/>
    <n v="55"/>
    <m/>
    <m/>
    <x v="0"/>
    <n v="1"/>
    <n v="22716"/>
    <n v="20"/>
    <n v="22716"/>
    <s v="UPI"/>
    <x v="0"/>
    <n v="200"/>
    <x v="0"/>
    <n v="3"/>
  </r>
  <r>
    <s v="ORD10108"/>
    <d v="2026-05-01T00:00:00"/>
    <x v="2"/>
    <s v="CUST1068"/>
    <s v="Arjun"/>
    <s v="Arjun"/>
    <x v="0"/>
    <x v="0"/>
    <x v="0"/>
    <x v="22"/>
    <n v="54"/>
    <m/>
    <m/>
    <x v="4"/>
    <n v="2"/>
    <n v="900"/>
    <n v="0"/>
    <n v="1800"/>
    <s v="Card"/>
    <x v="1"/>
    <n v="135"/>
    <x v="0"/>
    <n v="4"/>
  </r>
  <r>
    <s v="ORD10109"/>
    <d v="2026-05-26T00:00:00"/>
    <x v="2"/>
    <s v="CUST1046"/>
    <s v="Aman"/>
    <s v="Aman"/>
    <x v="2"/>
    <x v="2"/>
    <x v="2"/>
    <x v="21"/>
    <n v="35"/>
    <m/>
    <m/>
    <x v="0"/>
    <n v="4"/>
    <n v="37060"/>
    <n v="5"/>
    <n v="148240"/>
    <s v="UPI"/>
    <x v="0"/>
    <n v="200"/>
    <x v="0"/>
    <n v="5"/>
  </r>
  <r>
    <s v="ORD10110"/>
    <d v="2026-03-29T00:00:00"/>
    <x v="4"/>
    <s v="CUST1117"/>
    <s v="Riya"/>
    <s v="Riya"/>
    <x v="4"/>
    <x v="4"/>
    <x v="4"/>
    <x v="4"/>
    <n v="29"/>
    <m/>
    <m/>
    <x v="3"/>
    <n v="4"/>
    <n v="738"/>
    <n v="5"/>
    <n v="2952"/>
    <s v="Net Banking"/>
    <x v="3"/>
    <n v="36"/>
    <x v="0"/>
    <n v="3"/>
  </r>
  <r>
    <s v="ORD10111"/>
    <d v="2026-04-20T00:00:00"/>
    <x v="0"/>
    <s v="CUST1178"/>
    <s v="Varun"/>
    <s v="Varun"/>
    <x v="2"/>
    <x v="2"/>
    <x v="2"/>
    <x v="12"/>
    <n v="41"/>
    <m/>
    <m/>
    <x v="0"/>
    <n v="1"/>
    <n v="15544"/>
    <n v="15"/>
    <n v="15544"/>
    <s v="UPI"/>
    <x v="0"/>
    <n v="200"/>
    <x v="0"/>
    <n v="3"/>
  </r>
  <r>
    <s v="ORD10112"/>
    <d v="2026-03-23T00:00:00"/>
    <x v="4"/>
    <s v="CUST1101"/>
    <s v="Ananya"/>
    <s v="Ananya"/>
    <x v="6"/>
    <x v="1"/>
    <x v="6"/>
    <x v="23"/>
    <n v="14"/>
    <m/>
    <m/>
    <x v="0"/>
    <n v="1"/>
    <n v="10165"/>
    <n v="15"/>
    <n v="10165"/>
    <s v="UPI"/>
    <x v="0"/>
    <n v="200"/>
    <x v="1"/>
    <n v="0"/>
  </r>
  <r>
    <s v="ORD10113"/>
    <d v="2026-04-08T00:00:00"/>
    <x v="0"/>
    <s v="CUST1040"/>
    <s v="Aarav"/>
    <s v="Aarav"/>
    <x v="4"/>
    <x v="4"/>
    <x v="4"/>
    <x v="5"/>
    <n v="31"/>
    <m/>
    <m/>
    <x v="4"/>
    <n v="1"/>
    <n v="3200"/>
    <n v="0"/>
    <n v="3200"/>
    <s v="COD"/>
    <x v="2"/>
    <n v="129"/>
    <x v="0"/>
    <n v="3"/>
  </r>
  <r>
    <s v="ORD10114"/>
    <d v="2026-01-25T00:00:00"/>
    <x v="3"/>
    <s v="CUST1067"/>
    <s v="Kavya"/>
    <s v="Kavya"/>
    <x v="7"/>
    <x v="6"/>
    <x v="7"/>
    <x v="2"/>
    <n v="36"/>
    <m/>
    <m/>
    <x v="0"/>
    <n v="1"/>
    <n v="26302"/>
    <n v="10"/>
    <n v="26302"/>
    <s v="UPI"/>
    <x v="0"/>
    <n v="200"/>
    <x v="0"/>
    <n v="5"/>
  </r>
  <r>
    <s v="ORD10115"/>
    <d v="2026-02-25T00:00:00"/>
    <x v="1"/>
    <s v="CUST1059"/>
    <s v="Meera"/>
    <s v="Meera"/>
    <x v="6"/>
    <x v="1"/>
    <x v="6"/>
    <x v="19"/>
    <n v="28"/>
    <m/>
    <m/>
    <x v="3"/>
    <n v="2"/>
    <n v="1176"/>
    <n v="10"/>
    <n v="2352"/>
    <s v="COD"/>
    <x v="2"/>
    <n v="129"/>
    <x v="0"/>
    <n v="4"/>
  </r>
  <r>
    <s v="ORD10116"/>
    <d v="2026-02-28T00:00:00"/>
    <x v="1"/>
    <s v="CUST1170"/>
    <s v="Aditya"/>
    <s v="Aditya"/>
    <x v="3"/>
    <x v="3"/>
    <x v="3"/>
    <x v="18"/>
    <n v="27"/>
    <m/>
    <m/>
    <x v="4"/>
    <n v="3"/>
    <n v="2900"/>
    <n v="0"/>
    <n v="8700"/>
    <s v="Card"/>
    <x v="1"/>
    <n v="135"/>
    <x v="0"/>
    <n v="6"/>
  </r>
  <r>
    <s v="ORD10117"/>
    <d v="2026-05-18T00:00:00"/>
    <x v="2"/>
    <s v="CUST1013"/>
    <s v="Sneha"/>
    <s v="Sneha"/>
    <x v="0"/>
    <x v="0"/>
    <x v="0"/>
    <x v="12"/>
    <n v="41"/>
    <m/>
    <m/>
    <x v="0"/>
    <n v="1"/>
    <n v="6579"/>
    <n v="15"/>
    <n v="6579"/>
    <s v="UPI"/>
    <x v="0"/>
    <n v="200"/>
    <x v="0"/>
    <n v="3"/>
  </r>
  <r>
    <s v="ORD10118"/>
    <d v="2026-02-15T00:00:00"/>
    <x v="1"/>
    <s v="CUST1063"/>
    <s v="Priya"/>
    <s v="Priya"/>
    <x v="2"/>
    <x v="2"/>
    <x v="2"/>
    <x v="9"/>
    <n v="33"/>
    <m/>
    <m/>
    <x v="3"/>
    <n v="1"/>
    <n v="2271"/>
    <n v="15"/>
    <n v="2271"/>
    <s v="UPI"/>
    <x v="0"/>
    <n v="200"/>
    <x v="0"/>
    <n v="3"/>
  </r>
  <r>
    <s v="ORD10119"/>
    <d v="2026-06-05T00:00:00"/>
    <x v="5"/>
    <s v="CUST1017"/>
    <s v="Riya"/>
    <s v="Riya"/>
    <x v="7"/>
    <x v="6"/>
    <x v="7"/>
    <x v="13"/>
    <n v="28"/>
    <m/>
    <m/>
    <x v="2"/>
    <n v="3"/>
    <n v="1200"/>
    <n v="10"/>
    <n v="3600"/>
    <s v="UPI"/>
    <x v="0"/>
    <n v="200"/>
    <x v="0"/>
    <n v="1"/>
  </r>
  <r>
    <s v="ORD10120"/>
    <d v="2026-01-12T00:00:00"/>
    <x v="3"/>
    <s v="CUST1007"/>
    <s v="Kavya"/>
    <s v="Kavya"/>
    <x v="3"/>
    <x v="3"/>
    <x v="3"/>
    <x v="4"/>
    <n v="29"/>
    <m/>
    <m/>
    <x v="3"/>
    <n v="1"/>
    <n v="1833"/>
    <n v="0"/>
    <n v="1833"/>
    <s v="COD"/>
    <x v="2"/>
    <n v="129"/>
    <x v="2"/>
    <n v="4"/>
  </r>
  <r>
    <s v="ORD10121"/>
    <d v="2026-01-29T00:00:00"/>
    <x v="3"/>
    <s v="CUST1099"/>
    <s v="Meera"/>
    <s v="Meera"/>
    <x v="3"/>
    <x v="3"/>
    <x v="3"/>
    <x v="5"/>
    <n v="31"/>
    <m/>
    <m/>
    <x v="4"/>
    <n v="2"/>
    <n v="1500"/>
    <n v="5"/>
    <n v="3000"/>
    <s v="UPI"/>
    <x v="0"/>
    <n v="200"/>
    <x v="2"/>
    <n v="4"/>
  </r>
  <r>
    <s v="ORD10122"/>
    <d v="2026-05-21T00:00:00"/>
    <x v="2"/>
    <s v="CUST1101"/>
    <s v="Ananya"/>
    <s v="Ananya"/>
    <x v="5"/>
    <x v="5"/>
    <x v="5"/>
    <x v="19"/>
    <n v="28"/>
    <m/>
    <m/>
    <x v="3"/>
    <n v="1"/>
    <n v="2344"/>
    <n v="15"/>
    <n v="2344"/>
    <s v="COD"/>
    <x v="2"/>
    <n v="129"/>
    <x v="0"/>
    <n v="4"/>
  </r>
  <r>
    <s v="ORD10123"/>
    <d v="2026-03-25T00:00:00"/>
    <x v="4"/>
    <s v="CUST1064"/>
    <s v="Rohan"/>
    <s v="Rohan"/>
    <x v="2"/>
    <x v="2"/>
    <x v="2"/>
    <x v="5"/>
    <n v="31"/>
    <m/>
    <m/>
    <x v="4"/>
    <n v="1"/>
    <n v="3100"/>
    <n v="20"/>
    <n v="3100"/>
    <s v="UPI"/>
    <x v="0"/>
    <n v="200"/>
    <x v="0"/>
    <n v="5"/>
  </r>
  <r>
    <s v="ORD10124"/>
    <d v="2026-01-25T00:00:00"/>
    <x v="3"/>
    <s v="CUST1050"/>
    <s v="Aditya"/>
    <s v="Aditya"/>
    <x v="6"/>
    <x v="1"/>
    <x v="6"/>
    <x v="20"/>
    <n v="34"/>
    <m/>
    <m/>
    <x v="3"/>
    <n v="1"/>
    <n v="1395"/>
    <n v="0"/>
    <n v="1395"/>
    <s v="UPI"/>
    <x v="0"/>
    <n v="200"/>
    <x v="0"/>
    <n v="3"/>
  </r>
  <r>
    <s v="ORD10125"/>
    <d v="2026-05-11T00:00:00"/>
    <x v="2"/>
    <s v="CUST1017"/>
    <s v="Riya"/>
    <s v="Riya"/>
    <x v="0"/>
    <x v="0"/>
    <x v="0"/>
    <x v="22"/>
    <n v="54"/>
    <m/>
    <m/>
    <x v="4"/>
    <n v="1"/>
    <n v="3000"/>
    <n v="15"/>
    <n v="3000"/>
    <s v="Card"/>
    <x v="1"/>
    <n v="135"/>
    <x v="0"/>
    <n v="3"/>
  </r>
  <r>
    <s v="ORD10126"/>
    <d v="2026-05-06T00:00:00"/>
    <x v="2"/>
    <s v="CUST1072"/>
    <s v="Vivek"/>
    <s v="Vivek"/>
    <x v="6"/>
    <x v="1"/>
    <x v="6"/>
    <x v="17"/>
    <n v="41"/>
    <m/>
    <m/>
    <x v="4"/>
    <n v="1"/>
    <n v="3200"/>
    <n v="10"/>
    <n v="3200"/>
    <s v="UPI"/>
    <x v="0"/>
    <n v="200"/>
    <x v="0"/>
    <n v="4"/>
  </r>
  <r>
    <s v="ORD10127"/>
    <d v="2026-01-21T00:00:00"/>
    <x v="3"/>
    <s v="CUST1179"/>
    <s v="Meera"/>
    <s v="Meera"/>
    <x v="3"/>
    <x v="3"/>
    <x v="3"/>
    <x v="5"/>
    <n v="31"/>
    <m/>
    <m/>
    <x v="4"/>
    <n v="2"/>
    <n v="1700"/>
    <n v="25"/>
    <n v="3400"/>
    <s v="COD"/>
    <x v="2"/>
    <n v="129"/>
    <x v="0"/>
    <n v="2"/>
  </r>
  <r>
    <s v="ORD10128"/>
    <d v="2026-03-29T00:00:00"/>
    <x v="4"/>
    <s v="CUST1158"/>
    <s v="Varun"/>
    <s v="Varun"/>
    <x v="3"/>
    <x v="3"/>
    <x v="3"/>
    <x v="2"/>
    <n v="36"/>
    <m/>
    <m/>
    <x v="0"/>
    <n v="1"/>
    <n v="35267"/>
    <n v="15"/>
    <n v="35267"/>
    <s v="Net Banking"/>
    <x v="3"/>
    <n v="36"/>
    <x v="0"/>
    <n v="5"/>
  </r>
  <r>
    <s v="ORD10129"/>
    <d v="2026-06-10T00:00:00"/>
    <x v="5"/>
    <s v="CUST1119"/>
    <s v="Meera"/>
    <s v="Meera"/>
    <x v="0"/>
    <x v="0"/>
    <x v="0"/>
    <x v="16"/>
    <n v="44"/>
    <m/>
    <m/>
    <x v="4"/>
    <n v="1"/>
    <n v="1000"/>
    <n v="10"/>
    <n v="1000"/>
    <s v="COD"/>
    <x v="2"/>
    <n v="129"/>
    <x v="0"/>
    <n v="5"/>
  </r>
  <r>
    <s v="ORD10130"/>
    <d v="2026-06-21T00:00:00"/>
    <x v="5"/>
    <s v="CUST1178"/>
    <s v="Varun"/>
    <s v="Varun"/>
    <x v="3"/>
    <x v="3"/>
    <x v="3"/>
    <x v="6"/>
    <n v="33"/>
    <m/>
    <m/>
    <x v="3"/>
    <n v="1"/>
    <n v="2198"/>
    <n v="20"/>
    <n v="2198"/>
    <s v="UPI"/>
    <x v="0"/>
    <n v="200"/>
    <x v="0"/>
    <n v="4"/>
  </r>
  <r>
    <s v="ORD10131"/>
    <d v="2026-04-02T00:00:00"/>
    <x v="0"/>
    <s v="CUST1154"/>
    <s v="Karan"/>
    <s v="Karan"/>
    <x v="0"/>
    <x v="0"/>
    <x v="0"/>
    <x v="5"/>
    <n v="31"/>
    <m/>
    <m/>
    <x v="4"/>
    <n v="1"/>
    <n v="3500"/>
    <n v="20"/>
    <n v="3500"/>
    <s v="Card"/>
    <x v="1"/>
    <n v="135"/>
    <x v="0"/>
    <n v="5"/>
  </r>
  <r>
    <s v="ORD10132"/>
    <d v="2026-05-07T00:00:00"/>
    <x v="2"/>
    <s v="CUST1055"/>
    <s v="Isha"/>
    <s v="Isha"/>
    <x v="7"/>
    <x v="6"/>
    <x v="7"/>
    <x v="9"/>
    <n v="33"/>
    <m/>
    <m/>
    <x v="3"/>
    <n v="1"/>
    <n v="1249"/>
    <n v="0"/>
    <n v="1249"/>
    <s v="UPI"/>
    <x v="0"/>
    <n v="200"/>
    <x v="0"/>
    <n v="3"/>
  </r>
  <r>
    <s v="ORD10133"/>
    <d v="2026-04-10T00:00:00"/>
    <x v="0"/>
    <s v="CUST1037"/>
    <s v="Riya"/>
    <s v="Riya"/>
    <x v="6"/>
    <x v="1"/>
    <x v="6"/>
    <x v="13"/>
    <n v="28"/>
    <m/>
    <m/>
    <x v="2"/>
    <n v="1"/>
    <n v="1250"/>
    <n v="0"/>
    <n v="1250"/>
    <s v="UPI"/>
    <x v="0"/>
    <n v="200"/>
    <x v="0"/>
    <n v="2"/>
  </r>
  <r>
    <s v="ORD10134"/>
    <d v="2026-04-06T00:00:00"/>
    <x v="0"/>
    <s v="CUST1159"/>
    <s v="Meera"/>
    <s v="Meera"/>
    <x v="7"/>
    <x v="6"/>
    <x v="7"/>
    <x v="22"/>
    <n v="54"/>
    <m/>
    <m/>
    <x v="4"/>
    <n v="1"/>
    <n v="1400"/>
    <n v="5"/>
    <n v="1400"/>
    <s v="UPI"/>
    <x v="0"/>
    <n v="200"/>
    <x v="0"/>
    <n v="4"/>
  </r>
  <r>
    <s v="ORD10135"/>
    <d v="2026-01-24T00:00:00"/>
    <x v="3"/>
    <s v="CUST1164"/>
    <s v="Rohan"/>
    <s v="Rohan"/>
    <x v="4"/>
    <x v="4"/>
    <x v="4"/>
    <x v="22"/>
    <n v="54"/>
    <m/>
    <m/>
    <x v="4"/>
    <n v="4"/>
    <n v="3400"/>
    <n v="0"/>
    <n v="13600"/>
    <s v="COD"/>
    <x v="2"/>
    <n v="129"/>
    <x v="0"/>
    <n v="5"/>
  </r>
  <r>
    <s v="ORD10136"/>
    <d v="2026-04-27T00:00:00"/>
    <x v="0"/>
    <s v="CUST1012"/>
    <s v="Vivek"/>
    <s v="Vivek"/>
    <x v="2"/>
    <x v="2"/>
    <x v="2"/>
    <x v="9"/>
    <n v="33"/>
    <m/>
    <m/>
    <x v="3"/>
    <n v="1"/>
    <n v="519"/>
    <n v="5"/>
    <n v="519"/>
    <s v="Card"/>
    <x v="1"/>
    <n v="135"/>
    <x v="1"/>
    <n v="0"/>
  </r>
  <r>
    <s v="ORD10137"/>
    <d v="2026-05-11T00:00:00"/>
    <x v="2"/>
    <s v="CUST1037"/>
    <s v="Riya"/>
    <s v="Riya"/>
    <x v="7"/>
    <x v="6"/>
    <x v="7"/>
    <x v="4"/>
    <n v="29"/>
    <m/>
    <m/>
    <x v="3"/>
    <n v="2"/>
    <n v="446"/>
    <n v="5"/>
    <n v="892"/>
    <s v="Card"/>
    <x v="1"/>
    <n v="135"/>
    <x v="0"/>
    <n v="4"/>
  </r>
  <r>
    <s v="ORD10138"/>
    <d v="2026-03-10T00:00:00"/>
    <x v="4"/>
    <s v="CUST1070"/>
    <s v="Aditya"/>
    <s v="Aditya"/>
    <x v="3"/>
    <x v="3"/>
    <x v="3"/>
    <x v="22"/>
    <n v="54"/>
    <m/>
    <m/>
    <x v="4"/>
    <n v="1"/>
    <n v="3300"/>
    <n v="10"/>
    <n v="3300"/>
    <s v="UPI"/>
    <x v="0"/>
    <n v="200"/>
    <x v="0"/>
    <n v="1"/>
  </r>
  <r>
    <s v="ORD10139"/>
    <d v="2026-05-25T00:00:00"/>
    <x v="2"/>
    <s v="CUST1139"/>
    <s v="Meera"/>
    <s v="Meera"/>
    <x v="2"/>
    <x v="2"/>
    <x v="2"/>
    <x v="3"/>
    <n v="29"/>
    <m/>
    <m/>
    <x v="2"/>
    <n v="2"/>
    <n v="250"/>
    <n v="5"/>
    <n v="500"/>
    <s v="COD"/>
    <x v="2"/>
    <n v="129"/>
    <x v="0"/>
    <n v="1"/>
  </r>
  <r>
    <s v="ORD10140"/>
    <d v="2026-01-10T00:00:00"/>
    <x v="3"/>
    <s v="CUST1171"/>
    <s v="Simran"/>
    <s v="Simran"/>
    <x v="3"/>
    <x v="3"/>
    <x v="3"/>
    <x v="12"/>
    <n v="41"/>
    <m/>
    <m/>
    <x v="0"/>
    <n v="1"/>
    <n v="51404"/>
    <n v="15"/>
    <n v="51404"/>
    <s v="Card"/>
    <x v="1"/>
    <n v="135"/>
    <x v="0"/>
    <n v="4"/>
  </r>
  <r>
    <s v="ORD10141"/>
    <d v="2026-01-01T00:00:00"/>
    <x v="3"/>
    <s v="CUST1111"/>
    <s v="Simran"/>
    <s v="Simran"/>
    <x v="2"/>
    <x v="2"/>
    <x v="2"/>
    <x v="22"/>
    <n v="54"/>
    <m/>
    <m/>
    <x v="4"/>
    <n v="1"/>
    <n v="2900"/>
    <n v="5"/>
    <n v="2900"/>
    <s v="Card"/>
    <x v="1"/>
    <n v="135"/>
    <x v="0"/>
    <n v="4"/>
  </r>
  <r>
    <s v="ORD10142"/>
    <d v="2026-05-14T00:00:00"/>
    <x v="2"/>
    <s v="CUST1119"/>
    <s v="Meera"/>
    <s v="Meera"/>
    <x v="3"/>
    <x v="3"/>
    <x v="3"/>
    <x v="12"/>
    <n v="41"/>
    <m/>
    <m/>
    <x v="0"/>
    <n v="1"/>
    <n v="24509"/>
    <n v="10"/>
    <n v="24509"/>
    <s v="UPI "/>
    <x v="0"/>
    <n v="0"/>
    <x v="0"/>
    <n v="6"/>
  </r>
  <r>
    <s v="ORD10143"/>
    <d v="2026-02-04T00:00:00"/>
    <x v="1"/>
    <s v="CUST1039"/>
    <s v="Meera"/>
    <s v="Meera"/>
    <x v="4"/>
    <x v="4"/>
    <x v="4"/>
    <x v="13"/>
    <n v="28"/>
    <m/>
    <m/>
    <x v="2"/>
    <n v="1"/>
    <n v="150"/>
    <n v="0"/>
    <n v="150"/>
    <s v="UPI"/>
    <x v="0"/>
    <n v="200"/>
    <x v="2"/>
    <n v="2"/>
  </r>
  <r>
    <s v="ORD10144"/>
    <d v="2026-06-20T00:00:00"/>
    <x v="5"/>
    <s v="CUST1119"/>
    <s v="Meera"/>
    <s v="Meera"/>
    <x v="4"/>
    <x v="4"/>
    <x v="4"/>
    <x v="20"/>
    <n v="34"/>
    <m/>
    <m/>
    <x v="3"/>
    <n v="1"/>
    <n v="1906"/>
    <n v="5"/>
    <n v="1906"/>
    <s v="COD"/>
    <x v="2"/>
    <n v="129"/>
    <x v="0"/>
    <n v="4"/>
  </r>
  <r>
    <s v="ORD10145"/>
    <d v="2026-01-08T00:00:00"/>
    <x v="3"/>
    <s v="CUST1114"/>
    <s v="Karan"/>
    <s v="Karan"/>
    <x v="1"/>
    <x v="1"/>
    <x v="1"/>
    <x v="0"/>
    <n v="55"/>
    <m/>
    <m/>
    <x v="0"/>
    <n v="2"/>
    <n v="10165"/>
    <n v="0"/>
    <n v="20330"/>
    <s v="Card"/>
    <x v="1"/>
    <n v="135"/>
    <x v="0"/>
    <n v="4"/>
  </r>
  <r>
    <s v="ORD10146"/>
    <d v="2026-05-25T00:00:00"/>
    <x v="2"/>
    <s v="CUST1031"/>
    <s v="Simran"/>
    <s v="Simran"/>
    <x v="0"/>
    <x v="0"/>
    <x v="0"/>
    <x v="8"/>
    <n v="14"/>
    <m/>
    <m/>
    <x v="2"/>
    <n v="1"/>
    <n v="700"/>
    <n v="15"/>
    <n v="700"/>
    <s v="COD"/>
    <x v="2"/>
    <n v="129"/>
    <x v="0"/>
    <n v="2"/>
  </r>
  <r>
    <s v="ORD10147"/>
    <d v="2026-05-22T00:00:00"/>
    <x v="2"/>
    <s v="CUST1073"/>
    <s v="Sneha"/>
    <s v="Sneha"/>
    <x v="2"/>
    <x v="2"/>
    <x v="2"/>
    <x v="9"/>
    <n v="33"/>
    <m/>
    <m/>
    <x v="3"/>
    <n v="2"/>
    <n v="2417"/>
    <n v="25"/>
    <n v="4834"/>
    <s v="UPI"/>
    <x v="0"/>
    <n v="200"/>
    <x v="2"/>
    <n v="5"/>
  </r>
  <r>
    <s v="ORD10148"/>
    <d v="2026-03-18T00:00:00"/>
    <x v="4"/>
    <s v="CUST1141"/>
    <s v="Ananya"/>
    <s v="Ananya"/>
    <x v="2"/>
    <x v="2"/>
    <x v="2"/>
    <x v="12"/>
    <n v="41"/>
    <m/>
    <m/>
    <x v="0"/>
    <n v="2"/>
    <n v="51404"/>
    <n v="20"/>
    <n v="102808"/>
    <s v="Card"/>
    <x v="1"/>
    <n v="135"/>
    <x v="1"/>
    <n v="0"/>
  </r>
  <r>
    <s v="ORD10149"/>
    <d v="2026-01-23T00:00:00"/>
    <x v="3"/>
    <s v="CUST1060"/>
    <s v="Aarav"/>
    <s v="Aarav"/>
    <x v="4"/>
    <x v="4"/>
    <x v="4"/>
    <x v="7"/>
    <n v="23"/>
    <m/>
    <m/>
    <x v="1"/>
    <n v="1"/>
    <n v="1270"/>
    <n v="5"/>
    <n v="1270"/>
    <s v="UPI"/>
    <x v="0"/>
    <n v="200"/>
    <x v="0"/>
    <n v="2"/>
  </r>
  <r>
    <s v="ORD10150"/>
    <d v="2026-04-03T00:00:00"/>
    <x v="0"/>
    <s v="CUST1003"/>
    <s v="Priya"/>
    <s v="Priya"/>
    <x v="4"/>
    <x v="4"/>
    <x v="4"/>
    <x v="21"/>
    <n v="35"/>
    <m/>
    <m/>
    <x v="0"/>
    <n v="1"/>
    <n v="4786"/>
    <n v="0"/>
    <n v="4786"/>
    <s v="Card"/>
    <x v="1"/>
    <n v="135"/>
    <x v="0"/>
    <n v="3"/>
  </r>
  <r>
    <s v="ORD10151"/>
    <d v="2026-03-26T00:00:00"/>
    <x v="4"/>
    <s v="CUST1044"/>
    <s v="Rohan"/>
    <s v="Rohan"/>
    <x v="5"/>
    <x v="5"/>
    <x v="5"/>
    <x v="20"/>
    <n v="34"/>
    <m/>
    <m/>
    <x v="3"/>
    <n v="2"/>
    <n v="1760"/>
    <n v="0"/>
    <n v="3520"/>
    <s v="UPI"/>
    <x v="0"/>
    <n v="200"/>
    <x v="0"/>
    <n v="6"/>
  </r>
  <r>
    <s v="ORD10152"/>
    <d v="2026-01-15T00:00:00"/>
    <x v="3"/>
    <s v="CUST1025"/>
    <s v="Neha"/>
    <s v="Neha"/>
    <x v="2"/>
    <x v="2"/>
    <x v="2"/>
    <x v="9"/>
    <n v="33"/>
    <m/>
    <m/>
    <x v="3"/>
    <n v="3"/>
    <n v="1103"/>
    <n v="0"/>
    <n v="3309"/>
    <s v="UPI"/>
    <x v="0"/>
    <n v="200"/>
    <x v="0"/>
    <n v="4"/>
  </r>
  <r>
    <s v="ORD10153"/>
    <d v="2026-02-05T00:00:00"/>
    <x v="1"/>
    <s v="CUST1052"/>
    <s v="Vivek"/>
    <s v="Vivek"/>
    <x v="5"/>
    <x v="5"/>
    <x v="5"/>
    <x v="0"/>
    <n v="55"/>
    <m/>
    <m/>
    <x v="0"/>
    <n v="1"/>
    <n v="22716"/>
    <n v="0"/>
    <n v="22716"/>
    <s v="Card"/>
    <x v="1"/>
    <n v="135"/>
    <x v="0"/>
    <n v="4"/>
  </r>
  <r>
    <s v="ORD10154"/>
    <d v="2026-01-27T00:00:00"/>
    <x v="3"/>
    <s v="CUST1108"/>
    <s v="Arjun"/>
    <s v="Arjun"/>
    <x v="5"/>
    <x v="5"/>
    <x v="5"/>
    <x v="9"/>
    <n v="33"/>
    <m/>
    <m/>
    <x v="3"/>
    <n v="2"/>
    <n v="519"/>
    <n v="5"/>
    <n v="1038"/>
    <s v="Net Banking"/>
    <x v="3"/>
    <n v="36"/>
    <x v="0"/>
    <n v="2"/>
  </r>
  <r>
    <s v="ORD10155"/>
    <d v="2026-03-15T00:00:00"/>
    <x v="4"/>
    <s v="CUST1054"/>
    <s v="Karan"/>
    <s v="Karan"/>
    <x v="0"/>
    <x v="0"/>
    <x v="0"/>
    <x v="21"/>
    <n v="35"/>
    <m/>
    <m/>
    <x v="0"/>
    <n v="1"/>
    <n v="17337"/>
    <n v="20"/>
    <n v="17337"/>
    <s v="Card"/>
    <x v="1"/>
    <n v="135"/>
    <x v="0"/>
    <n v="4"/>
  </r>
  <r>
    <s v="ORD10156"/>
    <d v="2026-05-09T00:00:00"/>
    <x v="2"/>
    <s v="CUST1122"/>
    <s v="Rahul"/>
    <s v="Rahul"/>
    <x v="2"/>
    <x v="2"/>
    <x v="2"/>
    <x v="6"/>
    <n v="33"/>
    <m/>
    <m/>
    <x v="3"/>
    <n v="1"/>
    <n v="1176"/>
    <n v="15"/>
    <n v="1176"/>
    <s v="COD"/>
    <x v="2"/>
    <n v="129"/>
    <x v="0"/>
    <n v="4"/>
  </r>
  <r>
    <s v="ORD10157"/>
    <d v="2026-05-01T00:00:00"/>
    <x v="2"/>
    <s v="CUST1167"/>
    <s v="Kavya"/>
    <s v="Kavya"/>
    <x v="0"/>
    <x v="0"/>
    <x v="0"/>
    <x v="8"/>
    <n v="14"/>
    <m/>
    <m/>
    <x v="2"/>
    <n v="1"/>
    <n v="1400"/>
    <n v="5"/>
    <n v="1400"/>
    <s v="COD"/>
    <x v="2"/>
    <n v="129"/>
    <x v="0"/>
    <n v="1"/>
  </r>
  <r>
    <s v="ORD10158"/>
    <d v="2026-03-30T00:00:00"/>
    <x v="4"/>
    <s v="CUST1176"/>
    <s v="Nikhil"/>
    <s v="Nikhil"/>
    <x v="3"/>
    <x v="3"/>
    <x v="3"/>
    <x v="4"/>
    <n v="29"/>
    <m/>
    <m/>
    <x v="3"/>
    <n v="1"/>
    <n v="1906"/>
    <n v="0"/>
    <n v="1906"/>
    <s v="COD"/>
    <x v="2"/>
    <n v="129"/>
    <x v="0"/>
    <n v="3"/>
  </r>
  <r>
    <s v="ORD10159"/>
    <d v="2026-02-06T00:00:00"/>
    <x v="1"/>
    <s v="CUST1064"/>
    <s v="Rohan"/>
    <s v="Rohan"/>
    <x v="7"/>
    <x v="6"/>
    <x v="7"/>
    <x v="6"/>
    <n v="33"/>
    <m/>
    <m/>
    <x v="3"/>
    <n v="1"/>
    <n v="957"/>
    <n v="10"/>
    <n v="957"/>
    <s v="UPI"/>
    <x v="0"/>
    <n v="200"/>
    <x v="0"/>
    <n v="3"/>
  </r>
  <r>
    <s v="ORD10160"/>
    <d v="2026-02-04T00:00:00"/>
    <x v="1"/>
    <s v="CUST1102"/>
    <s v="Rahul"/>
    <s v="Rahul"/>
    <x v="7"/>
    <x v="6"/>
    <x v="7"/>
    <x v="9"/>
    <n v="33"/>
    <m/>
    <m/>
    <x v="3"/>
    <n v="1"/>
    <n v="1833"/>
    <n v="15"/>
    <n v="1833"/>
    <s v="UPI"/>
    <x v="0"/>
    <n v="200"/>
    <x v="0"/>
    <n v="4"/>
  </r>
  <r>
    <s v="ORD10161"/>
    <d v="2026-02-11T00:00:00"/>
    <x v="1"/>
    <s v="CUST1070"/>
    <s v="Aditya"/>
    <s v="Aditya"/>
    <x v="5"/>
    <x v="5"/>
    <x v="5"/>
    <x v="11"/>
    <n v="17"/>
    <m/>
    <m/>
    <x v="1"/>
    <n v="1"/>
    <n v="607"/>
    <n v="10"/>
    <n v="607"/>
    <s v="UPI"/>
    <x v="0"/>
    <n v="200"/>
    <x v="0"/>
    <n v="4"/>
  </r>
  <r>
    <s v="ORD10162"/>
    <d v="2026-06-18T00:00:00"/>
    <x v="5"/>
    <s v="CUST1044"/>
    <s v="Rohan"/>
    <s v="Rohan"/>
    <x v="7"/>
    <x v="6"/>
    <x v="7"/>
    <x v="22"/>
    <n v="54"/>
    <m/>
    <m/>
    <x v="4"/>
    <n v="2"/>
    <n v="600"/>
    <n v="0"/>
    <n v="1200"/>
    <s v="Card"/>
    <x v="1"/>
    <n v="135"/>
    <x v="0"/>
    <n v="7"/>
  </r>
  <r>
    <s v="ORD10163"/>
    <d v="2026-05-05T00:00:00"/>
    <x v="2"/>
    <s v="CUST1116"/>
    <s v="Nikhil"/>
    <s v="Nikhil"/>
    <x v="4"/>
    <x v="4"/>
    <x v="4"/>
    <x v="12"/>
    <n v="41"/>
    <m/>
    <m/>
    <x v="0"/>
    <n v="1"/>
    <n v="40646"/>
    <n v="5"/>
    <n v="40646"/>
    <s v="Net Banking"/>
    <x v="3"/>
    <n v="36"/>
    <x v="0"/>
    <n v="5"/>
  </r>
  <r>
    <s v="ORD10164"/>
    <d v="2026-01-08T00:00:00"/>
    <x v="3"/>
    <s v="CUST1012"/>
    <s v="Vivek"/>
    <s v="Vivek"/>
    <x v="7"/>
    <x v="6"/>
    <x v="7"/>
    <x v="0"/>
    <n v="55"/>
    <m/>
    <m/>
    <x v="0"/>
    <n v="1"/>
    <n v="22716"/>
    <n v="15"/>
    <n v="22716"/>
    <s v="UPI"/>
    <x v="0"/>
    <n v="200"/>
    <x v="0"/>
    <n v="5"/>
  </r>
  <r>
    <s v="ORD10165"/>
    <d v="2026-05-25T00:00:00"/>
    <x v="2"/>
    <s v="CUST1104"/>
    <s v="Rohan"/>
    <s v="Rohan"/>
    <x v="2"/>
    <x v="2"/>
    <x v="2"/>
    <x v="10"/>
    <n v="30"/>
    <m/>
    <m/>
    <x v="2"/>
    <n v="1"/>
    <n v="900"/>
    <n v="0"/>
    <n v="900"/>
    <s v="Net Banking"/>
    <x v="3"/>
    <n v="36"/>
    <x v="0"/>
    <n v="1"/>
  </r>
  <r>
    <s v="ORD10166"/>
    <d v="2026-04-18T00:00:00"/>
    <x v="0"/>
    <s v="CUST1142"/>
    <s v="Rahul"/>
    <s v="Rahul"/>
    <x v="2"/>
    <x v="2"/>
    <x v="2"/>
    <x v="20"/>
    <n v="34"/>
    <m/>
    <m/>
    <x v="3"/>
    <n v="1"/>
    <n v="665"/>
    <n v="15"/>
    <n v="665"/>
    <s v="COD"/>
    <x v="2"/>
    <n v="129"/>
    <x v="0"/>
    <n v="2"/>
  </r>
  <r>
    <s v="ORD10167"/>
    <d v="2026-02-05T00:00:00"/>
    <x v="1"/>
    <s v="CUST1180"/>
    <s v="Aarav"/>
    <s v="Aarav"/>
    <x v="2"/>
    <x v="2"/>
    <x v="2"/>
    <x v="16"/>
    <n v="44"/>
    <m/>
    <m/>
    <x v="4"/>
    <n v="1"/>
    <n v="1300"/>
    <n v="20"/>
    <n v="1300"/>
    <s v="Card"/>
    <x v="1"/>
    <n v="135"/>
    <x v="0"/>
    <n v="5"/>
  </r>
  <r>
    <s v="ORD10168"/>
    <d v="2026-05-31T00:00:00"/>
    <x v="2"/>
    <s v="CUST1158"/>
    <s v="Varun"/>
    <s v="Varun"/>
    <x v="1"/>
    <x v="1"/>
    <x v="1"/>
    <x v="10"/>
    <n v="30"/>
    <m/>
    <m/>
    <x v="2"/>
    <n v="1"/>
    <n v="1200"/>
    <n v="25"/>
    <n v="1200"/>
    <s v="COD"/>
    <x v="2"/>
    <n v="129"/>
    <x v="0"/>
    <n v="1"/>
  </r>
  <r>
    <s v="ORD10169"/>
    <d v="2026-05-14T00:00:00"/>
    <x v="2"/>
    <s v="CUST1020"/>
    <s v="Aarav"/>
    <s v="Aarav"/>
    <x v="3"/>
    <x v="3"/>
    <x v="3"/>
    <x v="21"/>
    <n v="35"/>
    <m/>
    <m/>
    <x v="0"/>
    <n v="1"/>
    <n v="26302"/>
    <n v="0"/>
    <n v="26302"/>
    <s v="Card"/>
    <x v="1"/>
    <n v="135"/>
    <x v="0"/>
    <n v="5"/>
  </r>
  <r>
    <s v="ORD10170"/>
    <d v="2026-01-10T00:00:00"/>
    <x v="3"/>
    <s v="CUST1134"/>
    <s v="Karan"/>
    <s v="Karan"/>
    <x v="0"/>
    <x v="0"/>
    <x v="0"/>
    <x v="21"/>
    <n v="35"/>
    <m/>
    <m/>
    <x v="0"/>
    <n v="1"/>
    <n v="6579"/>
    <n v="0"/>
    <n v="6579"/>
    <s v="COD"/>
    <x v="2"/>
    <n v="129"/>
    <x v="0"/>
    <n v="4"/>
  </r>
  <r>
    <s v="ORD10171"/>
    <d v="2026-01-25T00:00:00"/>
    <x v="3"/>
    <s v="CUST1128"/>
    <s v="Arjun"/>
    <s v="Arjun"/>
    <x v="6"/>
    <x v="1"/>
    <x v="6"/>
    <x v="0"/>
    <n v="55"/>
    <m/>
    <m/>
    <x v="0"/>
    <n v="1"/>
    <n v="2993"/>
    <n v="5"/>
    <n v="2993"/>
    <s v="UPI"/>
    <x v="0"/>
    <n v="200"/>
    <x v="0"/>
    <n v="3"/>
  </r>
  <r>
    <s v="ORD10172"/>
    <d v="2026-04-06T00:00:00"/>
    <x v="0"/>
    <s v="CUST1031"/>
    <s v="Simran"/>
    <s v="Simran"/>
    <x v="7"/>
    <x v="6"/>
    <x v="7"/>
    <x v="15"/>
    <n v="10"/>
    <m/>
    <m/>
    <x v="2"/>
    <n v="1"/>
    <n v="1000"/>
    <n v="20"/>
    <n v="1000"/>
    <s v="UPI"/>
    <x v="0"/>
    <n v="200"/>
    <x v="0"/>
    <n v="1"/>
  </r>
  <r>
    <s v="ORD10173"/>
    <d v="2026-01-05T00:00:00"/>
    <x v="3"/>
    <s v="CUST1083"/>
    <s v="Priya"/>
    <s v="Priya"/>
    <x v="0"/>
    <x v="0"/>
    <x v="0"/>
    <x v="16"/>
    <n v="44"/>
    <m/>
    <m/>
    <x v="4"/>
    <n v="4"/>
    <n v="3400"/>
    <n v="0"/>
    <n v="13600"/>
    <s v="Card"/>
    <x v="1"/>
    <n v="135"/>
    <x v="2"/>
    <n v="6"/>
  </r>
  <r>
    <s v="ORD10174"/>
    <d v="2026-05-17T00:00:00"/>
    <x v="2"/>
    <s v="CUST1052"/>
    <s v="Vivek"/>
    <s v="Vivek"/>
    <x v="3"/>
    <x v="3"/>
    <x v="3"/>
    <x v="23"/>
    <n v="14"/>
    <m/>
    <m/>
    <x v="0"/>
    <n v="2"/>
    <n v="11958"/>
    <n v="0"/>
    <n v="23916"/>
    <s v="Card"/>
    <x v="1"/>
    <n v="135"/>
    <x v="2"/>
    <n v="4"/>
  </r>
  <r>
    <s v="ORD10175"/>
    <d v="2026-02-21T00:00:00"/>
    <x v="1"/>
    <s v="CUST1155"/>
    <s v="Isha"/>
    <s v="Isha"/>
    <x v="7"/>
    <x v="6"/>
    <x v="7"/>
    <x v="1"/>
    <n v="20"/>
    <m/>
    <m/>
    <x v="1"/>
    <n v="2"/>
    <n v="1780"/>
    <n v="5"/>
    <n v="3560"/>
    <s v="Card"/>
    <x v="1"/>
    <n v="135"/>
    <x v="0"/>
    <n v="4"/>
  </r>
  <r>
    <s v="ORD10176"/>
    <d v="2026-04-02T00:00:00"/>
    <x v="0"/>
    <s v="CUST1058"/>
    <s v="Varun"/>
    <s v="Varun"/>
    <x v="4"/>
    <x v="4"/>
    <x v="4"/>
    <x v="0"/>
    <n v="55"/>
    <m/>
    <m/>
    <x v="0"/>
    <n v="3"/>
    <n v="38853"/>
    <n v="5"/>
    <n v="116559"/>
    <s v="UPI"/>
    <x v="0"/>
    <n v="200"/>
    <x v="0"/>
    <n v="4"/>
  </r>
  <r>
    <s v="ORD10177"/>
    <d v="2026-04-30T00:00:00"/>
    <x v="0"/>
    <s v="CUST1164"/>
    <s v="Rohan"/>
    <s v="Rohan"/>
    <x v="4"/>
    <x v="4"/>
    <x v="4"/>
    <x v="0"/>
    <n v="55"/>
    <m/>
    <m/>
    <x v="0"/>
    <n v="1"/>
    <n v="46025"/>
    <n v="25"/>
    <n v="46025"/>
    <s v="COD"/>
    <x v="2"/>
    <n v="129"/>
    <x v="1"/>
    <n v="0"/>
  </r>
  <r>
    <s v="ORD10178"/>
    <d v="2026-05-19T00:00:00"/>
    <x v="2"/>
    <s v="CUST1180"/>
    <s v="Aarav"/>
    <s v="Aarav"/>
    <x v="4"/>
    <x v="4"/>
    <x v="4"/>
    <x v="14"/>
    <n v="26"/>
    <m/>
    <m/>
    <x v="1"/>
    <n v="1"/>
    <n v="1525"/>
    <n v="20"/>
    <n v="1525"/>
    <s v="UPI"/>
    <x v="0"/>
    <n v="200"/>
    <x v="0"/>
    <n v="4"/>
  </r>
  <r>
    <s v="ORD10179"/>
    <d v="2026-06-06T00:00:00"/>
    <x v="5"/>
    <s v="CUST1010"/>
    <s v="Aditya"/>
    <s v="Aditya"/>
    <x v="4"/>
    <x v="4"/>
    <x v="4"/>
    <x v="14"/>
    <n v="26"/>
    <m/>
    <m/>
    <x v="1"/>
    <n v="3"/>
    <n v="1066"/>
    <n v="15"/>
    <n v="3198"/>
    <s v="UPI"/>
    <x v="0"/>
    <n v="200"/>
    <x v="0"/>
    <n v="1"/>
  </r>
  <r>
    <s v="ORD10180"/>
    <d v="2026-02-27T00:00:00"/>
    <x v="1"/>
    <s v="CUST1145"/>
    <s v="Neha"/>
    <s v="Neha"/>
    <x v="2"/>
    <x v="2"/>
    <x v="2"/>
    <x v="11"/>
    <n v="17"/>
    <m/>
    <m/>
    <x v="1"/>
    <n v="1"/>
    <n v="760"/>
    <n v="5"/>
    <n v="760"/>
    <s v="Card"/>
    <x v="1"/>
    <n v="135"/>
    <x v="0"/>
    <n v="2"/>
  </r>
  <r>
    <s v="ORD10181"/>
    <d v="2026-03-28T00:00:00"/>
    <x v="4"/>
    <s v="CUST1152"/>
    <s v="Vivek"/>
    <s v="Vivek"/>
    <x v="4"/>
    <x v="4"/>
    <x v="4"/>
    <x v="2"/>
    <n v="36"/>
    <m/>
    <m/>
    <x v="0"/>
    <n v="1"/>
    <n v="1200"/>
    <n v="0"/>
    <n v="1200"/>
    <s v="UPI"/>
    <x v="0"/>
    <n v="200"/>
    <x v="0"/>
    <n v="5"/>
  </r>
  <r>
    <s v="ORD10182"/>
    <d v="2026-01-17T00:00:00"/>
    <x v="3"/>
    <s v="CUST1028"/>
    <s v="Arjun"/>
    <s v="Arjun"/>
    <x v="1"/>
    <x v="1"/>
    <x v="1"/>
    <x v="1"/>
    <n v="20"/>
    <m/>
    <m/>
    <x v="1"/>
    <n v="1"/>
    <n v="1780"/>
    <n v="5"/>
    <n v="1780"/>
    <s v="COD"/>
    <x v="2"/>
    <n v="129"/>
    <x v="0"/>
    <n v="3"/>
  </r>
  <r>
    <s v="ORD10183"/>
    <d v="2026-02-20T00:00:00"/>
    <x v="1"/>
    <s v="CUST1105"/>
    <s v="Neha"/>
    <s v="Neha"/>
    <x v="3"/>
    <x v="3"/>
    <x v="3"/>
    <x v="12"/>
    <n v="41"/>
    <m/>
    <m/>
    <x v="0"/>
    <n v="1"/>
    <n v="10165"/>
    <n v="10"/>
    <n v="10165"/>
    <s v="COD"/>
    <x v="2"/>
    <n v="129"/>
    <x v="0"/>
    <n v="2"/>
  </r>
  <r>
    <s v="ORD10184"/>
    <d v="2026-06-18T00:00:00"/>
    <x v="5"/>
    <s v="CUST1160"/>
    <s v="Aarav"/>
    <s v="Aarav"/>
    <x v="1"/>
    <x v="1"/>
    <x v="1"/>
    <x v="16"/>
    <n v="44"/>
    <m/>
    <m/>
    <x v="4"/>
    <n v="2"/>
    <n v="1400"/>
    <n v="5"/>
    <n v="2800"/>
    <s v="Net Banking"/>
    <x v="3"/>
    <n v="36"/>
    <x v="0"/>
    <n v="3"/>
  </r>
  <r>
    <s v="ORD10185"/>
    <d v="2026-04-05T00:00:00"/>
    <x v="0"/>
    <s v="CUST1114"/>
    <s v="Karan"/>
    <s v="Karan"/>
    <x v="4"/>
    <x v="4"/>
    <x v="4"/>
    <x v="9"/>
    <n v="33"/>
    <m/>
    <m/>
    <x v="3"/>
    <n v="1"/>
    <n v="1030"/>
    <n v="0"/>
    <n v="1030"/>
    <s v="Card"/>
    <x v="1"/>
    <n v="135"/>
    <x v="0"/>
    <n v="5"/>
  </r>
  <r>
    <s v="ORD10186"/>
    <d v="2026-01-22T00:00:00"/>
    <x v="3"/>
    <s v="CUST1119"/>
    <s v="Meera"/>
    <s v="Meera"/>
    <x v="2"/>
    <x v="2"/>
    <x v="2"/>
    <x v="15"/>
    <n v="10"/>
    <m/>
    <m/>
    <x v="2"/>
    <n v="3"/>
    <n v="1050"/>
    <n v="10"/>
    <n v="3150"/>
    <s v="UPI"/>
    <x v="0"/>
    <n v="200"/>
    <x v="0"/>
    <n v="1"/>
  </r>
  <r>
    <s v="ORD10187"/>
    <d v="2026-02-08T00:00:00"/>
    <x v="1"/>
    <s v="CUST1086"/>
    <s v="Aman"/>
    <s v="Aman"/>
    <x v="0"/>
    <x v="0"/>
    <x v="0"/>
    <x v="3"/>
    <n v="29"/>
    <m/>
    <m/>
    <x v="2"/>
    <n v="2"/>
    <n v="1150"/>
    <n v="10"/>
    <n v="2300"/>
    <s v="COD"/>
    <x v="2"/>
    <n v="129"/>
    <x v="0"/>
    <n v="2"/>
  </r>
  <r>
    <s v="ORD10188"/>
    <d v="2026-05-30T00:00:00"/>
    <x v="2"/>
    <s v="CUST1095"/>
    <s v="Isha"/>
    <s v="Isha"/>
    <x v="1"/>
    <x v="1"/>
    <x v="1"/>
    <x v="13"/>
    <n v="28"/>
    <m/>
    <m/>
    <x v="2"/>
    <n v="1"/>
    <n v="750"/>
    <n v="0"/>
    <n v="750"/>
    <s v="COD"/>
    <x v="2"/>
    <n v="129"/>
    <x v="0"/>
    <n v="3"/>
  </r>
  <r>
    <s v="ORD10189"/>
    <d v="2026-05-31T00:00:00"/>
    <x v="2"/>
    <s v="CUST1111"/>
    <s v="Simran"/>
    <s v="Simran"/>
    <x v="0"/>
    <x v="0"/>
    <x v="0"/>
    <x v="24"/>
    <n v="18"/>
    <m/>
    <m/>
    <x v="1"/>
    <n v="1"/>
    <n v="454"/>
    <n v="10"/>
    <n v="454"/>
    <s v="UPI"/>
    <x v="0"/>
    <n v="200"/>
    <x v="0"/>
    <n v="3"/>
  </r>
  <r>
    <s v="ORD10190"/>
    <d v="2026-01-25T00:00:00"/>
    <x v="3"/>
    <s v="CUST1104"/>
    <s v="Rohan"/>
    <s v="Rohan"/>
    <x v="0"/>
    <x v="0"/>
    <x v="0"/>
    <x v="12"/>
    <n v="41"/>
    <m/>
    <m/>
    <x v="0"/>
    <n v="1"/>
    <n v="46025"/>
    <n v="5"/>
    <n v="46025"/>
    <s v="COD"/>
    <x v="2"/>
    <n v="129"/>
    <x v="2"/>
    <n v="4"/>
  </r>
  <r>
    <s v="ORD10191"/>
    <d v="2026-03-05T00:00:00"/>
    <x v="4"/>
    <s v="CUST1086"/>
    <s v="Aman"/>
    <s v="Aman"/>
    <x v="0"/>
    <x v="0"/>
    <x v="0"/>
    <x v="12"/>
    <n v="41"/>
    <m/>
    <m/>
    <x v="0"/>
    <n v="2"/>
    <n v="37060"/>
    <n v="10"/>
    <n v="74120"/>
    <s v="UPI"/>
    <x v="0"/>
    <n v="200"/>
    <x v="0"/>
    <n v="4"/>
  </r>
  <r>
    <s v="ORD10192"/>
    <d v="2026-03-31T00:00:00"/>
    <x v="4"/>
    <s v="CUST1070"/>
    <s v="Aditya"/>
    <s v="Aditya"/>
    <x v="0"/>
    <x v="0"/>
    <x v="0"/>
    <x v="7"/>
    <n v="23"/>
    <m/>
    <m/>
    <x v="1"/>
    <n v="2"/>
    <n v="301"/>
    <n v="10"/>
    <n v="602"/>
    <s v="COD"/>
    <x v="2"/>
    <n v="129"/>
    <x v="0"/>
    <n v="4"/>
  </r>
  <r>
    <s v="ORD10193"/>
    <d v="2026-02-25T00:00:00"/>
    <x v="1"/>
    <s v="CUST1149"/>
    <s v="Pooja"/>
    <s v="Pooja"/>
    <x v="4"/>
    <x v="4"/>
    <x v="4"/>
    <x v="0"/>
    <n v="55"/>
    <m/>
    <m/>
    <x v="0"/>
    <n v="2"/>
    <n v="6579"/>
    <n v="20"/>
    <n v="13158"/>
    <s v="Card"/>
    <x v="1"/>
    <n v="135"/>
    <x v="0"/>
    <n v="6"/>
  </r>
  <r>
    <s v="ORD10194"/>
    <d v="2026-02-07T00:00:00"/>
    <x v="1"/>
    <s v="CUST1080"/>
    <s v="Aarav"/>
    <s v="Aarav"/>
    <x v="3"/>
    <x v="3"/>
    <x v="3"/>
    <x v="0"/>
    <n v="55"/>
    <m/>
    <m/>
    <x v="0"/>
    <n v="1"/>
    <n v="35267"/>
    <n v="20"/>
    <n v="35267"/>
    <s v="Card"/>
    <x v="1"/>
    <n v="135"/>
    <x v="0"/>
    <n v="3"/>
  </r>
  <r>
    <s v="ORD10195"/>
    <d v="2026-02-24T00:00:00"/>
    <x v="1"/>
    <s v="CUST1117"/>
    <s v="Riya"/>
    <s v="Riya"/>
    <x v="6"/>
    <x v="1"/>
    <x v="6"/>
    <x v="12"/>
    <n v="41"/>
    <m/>
    <m/>
    <x v="0"/>
    <n v="2"/>
    <n v="53197"/>
    <n v="5"/>
    <n v="106394"/>
    <s v="COD"/>
    <x v="2"/>
    <n v="129"/>
    <x v="0"/>
    <n v="5"/>
  </r>
  <r>
    <s v="ORD10196"/>
    <d v="2026-06-08T00:00:00"/>
    <x v="5"/>
    <s v="CUST1113"/>
    <s v="Sneha"/>
    <s v="Sneha"/>
    <x v="0"/>
    <x v="0"/>
    <x v="0"/>
    <x v="19"/>
    <n v="28"/>
    <m/>
    <m/>
    <x v="3"/>
    <n v="1"/>
    <n v="519"/>
    <n v="15"/>
    <n v="519"/>
    <s v="UPI"/>
    <x v="0"/>
    <n v="200"/>
    <x v="0"/>
    <n v="3"/>
  </r>
  <r>
    <s v="ORD10197"/>
    <d v="2026-02-16T00:00:00"/>
    <x v="1"/>
    <s v="CUST1075"/>
    <s v="Isha"/>
    <s v="Isha"/>
    <x v="1"/>
    <x v="1"/>
    <x v="1"/>
    <x v="13"/>
    <n v="28"/>
    <m/>
    <m/>
    <x v="2"/>
    <n v="1"/>
    <n v="150"/>
    <n v="10"/>
    <n v="150"/>
    <s v="COD"/>
    <x v="2"/>
    <n v="129"/>
    <x v="0"/>
    <n v="3"/>
  </r>
  <r>
    <s v="ORD10198"/>
    <d v="2026-04-13T00:00:00"/>
    <x v="0"/>
    <s v="CUST1118"/>
    <s v="Varun"/>
    <s v="Varun"/>
    <x v="7"/>
    <x v="6"/>
    <x v="7"/>
    <x v="4"/>
    <n v="29"/>
    <m/>
    <m/>
    <x v="3"/>
    <n v="1"/>
    <n v="1687"/>
    <n v="5"/>
    <n v="1687"/>
    <s v="UPI"/>
    <x v="0"/>
    <n v="200"/>
    <x v="0"/>
    <n v="3"/>
  </r>
  <r>
    <s v="ORD10199"/>
    <d v="2026-03-22T00:00:00"/>
    <x v="4"/>
    <s v="CUST1005"/>
    <s v="Neha"/>
    <s v="Neha"/>
    <x v="5"/>
    <x v="5"/>
    <x v="5"/>
    <x v="24"/>
    <n v="18"/>
    <m/>
    <m/>
    <x v="1"/>
    <n v="2"/>
    <n v="709"/>
    <n v="5"/>
    <n v="1418"/>
    <s v="UPI"/>
    <x v="0"/>
    <n v="200"/>
    <x v="0"/>
    <n v="1"/>
  </r>
  <r>
    <s v="ORD10200"/>
    <d v="2026-04-10T00:00:00"/>
    <x v="0"/>
    <s v="CUST1060"/>
    <s v="Aarav"/>
    <s v="Aarav"/>
    <x v="3"/>
    <x v="3"/>
    <x v="3"/>
    <x v="12"/>
    <n v="41"/>
    <m/>
    <m/>
    <x v="0"/>
    <n v="1"/>
    <n v="4786"/>
    <n v="15"/>
    <n v="4786"/>
    <s v="COD"/>
    <x v="2"/>
    <n v="129"/>
    <x v="0"/>
    <n v="2"/>
  </r>
  <r>
    <s v="ORD10201"/>
    <d v="2026-04-18T00:00:00"/>
    <x v="0"/>
    <s v="CUST1014"/>
    <s v="Karan"/>
    <s v="Karan"/>
    <x v="3"/>
    <x v="3"/>
    <x v="3"/>
    <x v="7"/>
    <n v="23"/>
    <m/>
    <m/>
    <x v="1"/>
    <n v="1"/>
    <n v="403"/>
    <n v="5"/>
    <n v="403"/>
    <s v="UPI"/>
    <x v="0"/>
    <n v="200"/>
    <x v="0"/>
    <n v="1"/>
  </r>
  <r>
    <s v="ORD10202"/>
    <d v="2026-04-30T00:00:00"/>
    <x v="0"/>
    <s v="CUST1084"/>
    <s v="Rohan"/>
    <s v="Rohan"/>
    <x v="1"/>
    <x v="1"/>
    <x v="1"/>
    <x v="16"/>
    <n v="44"/>
    <m/>
    <m/>
    <x v="4"/>
    <n v="2"/>
    <n v="2900"/>
    <n v="0"/>
    <n v="5800"/>
    <s v="Card"/>
    <x v="1"/>
    <n v="135"/>
    <x v="0"/>
    <n v="3"/>
  </r>
  <r>
    <s v="ORD10203"/>
    <d v="2026-03-23T00:00:00"/>
    <x v="4"/>
    <s v="CUST1143"/>
    <s v="Priya"/>
    <s v="Priya"/>
    <x v="5"/>
    <x v="5"/>
    <x v="5"/>
    <x v="2"/>
    <n v="36"/>
    <m/>
    <m/>
    <x v="0"/>
    <n v="1"/>
    <n v="31681"/>
    <n v="5"/>
    <n v="31681"/>
    <s v="COD"/>
    <x v="2"/>
    <n v="129"/>
    <x v="0"/>
    <n v="4"/>
  </r>
  <r>
    <s v="ORD10204"/>
    <d v="2026-06-25T00:00:00"/>
    <x v="5"/>
    <s v="CUST1131"/>
    <s v="Simran"/>
    <s v="Simran"/>
    <x v="1"/>
    <x v="1"/>
    <x v="1"/>
    <x v="2"/>
    <n v="36"/>
    <m/>
    <m/>
    <x v="0"/>
    <n v="1"/>
    <n v="42439"/>
    <n v="15"/>
    <n v="42439"/>
    <s v="Net Banking"/>
    <x v="3"/>
    <n v="36"/>
    <x v="0"/>
    <n v="4"/>
  </r>
  <r>
    <s v="ORD10205"/>
    <d v="2026-03-28T00:00:00"/>
    <x v="4"/>
    <s v="CUST1071"/>
    <s v="Simran"/>
    <s v="Simran"/>
    <x v="3"/>
    <x v="3"/>
    <x v="3"/>
    <x v="6"/>
    <n v="33"/>
    <m/>
    <m/>
    <x v="3"/>
    <n v="4"/>
    <n v="1614"/>
    <n v="10"/>
    <n v="6456"/>
    <s v="UPI"/>
    <x v="0"/>
    <n v="200"/>
    <x v="0"/>
    <n v="3"/>
  </r>
  <r>
    <s v="ORD10206"/>
    <d v="2026-03-27T00:00:00"/>
    <x v="4"/>
    <s v="CUST1017"/>
    <s v="Riya"/>
    <s v="Riya"/>
    <x v="7"/>
    <x v="6"/>
    <x v="7"/>
    <x v="19"/>
    <n v="28"/>
    <m/>
    <m/>
    <x v="3"/>
    <n v="2"/>
    <n v="2344"/>
    <n v="15"/>
    <n v="4688"/>
    <s v="UPI"/>
    <x v="0"/>
    <n v="200"/>
    <x v="0"/>
    <n v="3"/>
  </r>
  <r>
    <s v="ORD10207"/>
    <d v="2026-04-08T00:00:00"/>
    <x v="0"/>
    <s v="CUST1125"/>
    <s v="Neha"/>
    <s v="Neha"/>
    <x v="3"/>
    <x v="3"/>
    <x v="3"/>
    <x v="17"/>
    <n v="41"/>
    <m/>
    <m/>
    <x v="4"/>
    <n v="1"/>
    <n v="1400"/>
    <n v="20"/>
    <n v="1400"/>
    <s v="COD"/>
    <x v="2"/>
    <n v="129"/>
    <x v="0"/>
    <n v="1"/>
  </r>
  <r>
    <s v="ORD10208"/>
    <d v="2026-06-16T00:00:00"/>
    <x v="5"/>
    <s v="CUST1135"/>
    <s v="Isha"/>
    <s v="Isha"/>
    <x v="7"/>
    <x v="6"/>
    <x v="7"/>
    <x v="2"/>
    <n v="36"/>
    <m/>
    <m/>
    <x v="0"/>
    <n v="1"/>
    <n v="47818"/>
    <n v="0"/>
    <n v="47818"/>
    <s v="COD"/>
    <x v="2"/>
    <n v="129"/>
    <x v="0"/>
    <n v="2"/>
  </r>
  <r>
    <s v="ORD10209"/>
    <d v="2026-01-21T00:00:00"/>
    <x v="3"/>
    <s v="CUST1113"/>
    <s v="Sneha"/>
    <s v="Sneha"/>
    <x v="3"/>
    <x v="3"/>
    <x v="3"/>
    <x v="22"/>
    <n v="54"/>
    <m/>
    <m/>
    <x v="4"/>
    <n v="1"/>
    <n v="2600"/>
    <n v="0"/>
    <n v="2600"/>
    <s v="Card"/>
    <x v="1"/>
    <n v="135"/>
    <x v="0"/>
    <n v="7"/>
  </r>
  <r>
    <s v="ORD10210"/>
    <d v="2026-03-07T00:00:00"/>
    <x v="4"/>
    <s v="CUST1123"/>
    <s v="Priya"/>
    <s v="Priya"/>
    <x v="3"/>
    <x v="3"/>
    <x v="3"/>
    <x v="22"/>
    <n v="54"/>
    <m/>
    <m/>
    <x v="4"/>
    <n v="1"/>
    <n v="500"/>
    <n v="15"/>
    <n v="500"/>
    <s v="UPI"/>
    <x v="0"/>
    <n v="200"/>
    <x v="0"/>
    <n v="5"/>
  </r>
  <r>
    <s v="ORD10211"/>
    <d v="2026-06-27T00:00:00"/>
    <x v="5"/>
    <s v="CUST1137"/>
    <s v="Riya"/>
    <s v="Riya"/>
    <x v="3"/>
    <x v="3"/>
    <x v="3"/>
    <x v="5"/>
    <n v="31"/>
    <m/>
    <m/>
    <x v="4"/>
    <n v="1"/>
    <n v="2800"/>
    <n v="0"/>
    <n v="2800"/>
    <s v="UPI"/>
    <x v="0"/>
    <n v="200"/>
    <x v="0"/>
    <n v="3"/>
  </r>
  <r>
    <s v="ORD10212"/>
    <d v="2026-02-16T00:00:00"/>
    <x v="1"/>
    <s v="CUST1109"/>
    <s v="Pooja"/>
    <s v="Pooja"/>
    <x v="3"/>
    <x v="3"/>
    <x v="3"/>
    <x v="3"/>
    <n v="29"/>
    <m/>
    <m/>
    <x v="2"/>
    <n v="1"/>
    <n v="600"/>
    <n v="10"/>
    <n v="600"/>
    <s v="UPI"/>
    <x v="0"/>
    <n v="200"/>
    <x v="0"/>
    <n v="1"/>
  </r>
  <r>
    <s v="ORD10213"/>
    <d v="2026-01-03T00:00:00"/>
    <x v="3"/>
    <s v="CUST1110"/>
    <s v="Aditya"/>
    <s v="Aditya"/>
    <x v="5"/>
    <x v="5"/>
    <x v="5"/>
    <x v="21"/>
    <n v="35"/>
    <m/>
    <m/>
    <x v="0"/>
    <n v="1"/>
    <n v="49611"/>
    <n v="0"/>
    <n v="49611"/>
    <s v="COD"/>
    <x v="2"/>
    <n v="129"/>
    <x v="0"/>
    <n v="3"/>
  </r>
  <r>
    <s v="ORD10214"/>
    <d v="2026-01-19T00:00:00"/>
    <x v="3"/>
    <s v="CUST1156"/>
    <s v="Nikhil"/>
    <s v="Nikhil"/>
    <x v="5"/>
    <x v="5"/>
    <x v="5"/>
    <x v="7"/>
    <n v="23"/>
    <m/>
    <m/>
    <x v="1"/>
    <n v="1"/>
    <n v="1780"/>
    <n v="0"/>
    <n v="1780"/>
    <s v="COD"/>
    <x v="2"/>
    <n v="129"/>
    <x v="0"/>
    <n v="1"/>
  </r>
  <r>
    <s v="ORD10215"/>
    <d v="2026-04-12T00:00:00"/>
    <x v="0"/>
    <s v="CUST1126"/>
    <s v="Aman"/>
    <s v="Aman"/>
    <x v="1"/>
    <x v="1"/>
    <x v="1"/>
    <x v="6"/>
    <n v="33"/>
    <m/>
    <m/>
    <x v="3"/>
    <n v="1"/>
    <n v="592"/>
    <n v="10"/>
    <n v="592"/>
    <s v="COD"/>
    <x v="2"/>
    <n v="129"/>
    <x v="1"/>
    <n v="0"/>
  </r>
  <r>
    <s v="ORD10216"/>
    <d v="2026-05-13T00:00:00"/>
    <x v="2"/>
    <s v="CUST1131"/>
    <s v="Simran"/>
    <s v="Simran"/>
    <x v="1"/>
    <x v="1"/>
    <x v="1"/>
    <x v="17"/>
    <n v="41"/>
    <m/>
    <m/>
    <x v="4"/>
    <n v="3"/>
    <n v="2400"/>
    <n v="0"/>
    <n v="7200"/>
    <s v="COD"/>
    <x v="2"/>
    <n v="129"/>
    <x v="2"/>
    <n v="5"/>
  </r>
  <r>
    <s v="ORD10217"/>
    <d v="2026-03-17T00:00:00"/>
    <x v="4"/>
    <s v="CUST1041"/>
    <s v="Ananya"/>
    <s v="Ananya"/>
    <x v="2"/>
    <x v="2"/>
    <x v="2"/>
    <x v="0"/>
    <n v="55"/>
    <m/>
    <m/>
    <x v="0"/>
    <n v="2"/>
    <n v="49611"/>
    <n v="0"/>
    <n v="99222"/>
    <s v="UPI"/>
    <x v="0"/>
    <n v="200"/>
    <x v="0"/>
    <n v="4"/>
  </r>
  <r>
    <s v="ORD10218"/>
    <d v="2026-02-20T00:00:00"/>
    <x v="1"/>
    <s v="CUST1125"/>
    <s v="Neha"/>
    <s v="Neha"/>
    <x v="4"/>
    <x v="4"/>
    <x v="4"/>
    <x v="7"/>
    <n v="23"/>
    <m/>
    <m/>
    <x v="1"/>
    <n v="1"/>
    <n v="1372"/>
    <n v="5"/>
    <n v="1372"/>
    <s v="COD"/>
    <x v="2"/>
    <n v="129"/>
    <x v="0"/>
    <n v="3"/>
  </r>
  <r>
    <s v="ORD10219"/>
    <d v="2026-01-16T00:00:00"/>
    <x v="3"/>
    <s v="CUST1087"/>
    <s v="Kavya"/>
    <s v="Kavya"/>
    <x v="3"/>
    <x v="3"/>
    <x v="3"/>
    <x v="22"/>
    <n v="54"/>
    <m/>
    <m/>
    <x v="4"/>
    <n v="1"/>
    <n v="1900"/>
    <n v="20"/>
    <n v="1900"/>
    <s v="UPI"/>
    <x v="0"/>
    <n v="200"/>
    <x v="0"/>
    <n v="5"/>
  </r>
  <r>
    <s v="ORD10220"/>
    <d v="2026-05-08T00:00:00"/>
    <x v="2"/>
    <s v="CUST1145"/>
    <s v="Neha"/>
    <s v="Neha"/>
    <x v="7"/>
    <x v="6"/>
    <x v="7"/>
    <x v="4"/>
    <n v="29"/>
    <m/>
    <m/>
    <x v="3"/>
    <n v="1"/>
    <n v="1322"/>
    <n v="5"/>
    <n v="1322"/>
    <s v="UPI"/>
    <x v="0"/>
    <n v="200"/>
    <x v="0"/>
    <n v="4"/>
  </r>
  <r>
    <s v="ORD10221"/>
    <d v="2026-02-08T00:00:00"/>
    <x v="1"/>
    <s v="CUST1120"/>
    <s v="Aarav"/>
    <s v="Aarav"/>
    <x v="0"/>
    <x v="0"/>
    <x v="0"/>
    <x v="12"/>
    <n v="41"/>
    <m/>
    <m/>
    <x v="0"/>
    <n v="3"/>
    <n v="33474"/>
    <n v="10"/>
    <n v="100422"/>
    <s v="Card"/>
    <x v="1"/>
    <n v="135"/>
    <x v="0"/>
    <n v="4"/>
  </r>
  <r>
    <s v="ORD10222"/>
    <d v="2026-02-15T00:00:00"/>
    <x v="1"/>
    <s v="CUST1150"/>
    <s v="Aditya"/>
    <s v="Aditya"/>
    <x v="4"/>
    <x v="4"/>
    <x v="4"/>
    <x v="10"/>
    <n v="30"/>
    <m/>
    <m/>
    <x v="2"/>
    <n v="4"/>
    <n v="1050"/>
    <n v="0"/>
    <n v="4200"/>
    <s v="Card"/>
    <x v="1"/>
    <n v="135"/>
    <x v="0"/>
    <n v="2"/>
  </r>
  <r>
    <s v="ORD10223"/>
    <d v="2026-06-25T00:00:00"/>
    <x v="5"/>
    <s v="CUST1073"/>
    <s v="Sneha"/>
    <s v="Sneha"/>
    <x v="6"/>
    <x v="1"/>
    <x v="6"/>
    <x v="10"/>
    <n v="30"/>
    <m/>
    <m/>
    <x v="2"/>
    <n v="2"/>
    <n v="600"/>
    <n v="15"/>
    <n v="1200"/>
    <s v="Net Banking"/>
    <x v="3"/>
    <n v="36"/>
    <x v="0"/>
    <n v="2"/>
  </r>
  <r>
    <s v="ORD10224"/>
    <d v="2026-05-04T00:00:00"/>
    <x v="2"/>
    <s v="CUST1052"/>
    <s v="Vivek"/>
    <s v="Vivek"/>
    <x v="0"/>
    <x v="0"/>
    <x v="0"/>
    <x v="22"/>
    <n v="54"/>
    <m/>
    <m/>
    <x v="4"/>
    <n v="1"/>
    <n v="1800"/>
    <n v="0"/>
    <n v="1800"/>
    <s v="UPI"/>
    <x v="0"/>
    <n v="200"/>
    <x v="0"/>
    <n v="5"/>
  </r>
  <r>
    <s v="ORD10225"/>
    <d v="2026-03-30T00:00:00"/>
    <x v="4"/>
    <s v="CUST1002"/>
    <s v="Rahul"/>
    <s v="Rahul"/>
    <x v="0"/>
    <x v="0"/>
    <x v="0"/>
    <x v="21"/>
    <n v="35"/>
    <m/>
    <m/>
    <x v="0"/>
    <n v="2"/>
    <n v="47818"/>
    <n v="10"/>
    <n v="95636"/>
    <s v="UPI"/>
    <x v="0"/>
    <n v="200"/>
    <x v="0"/>
    <n v="3"/>
  </r>
  <r>
    <s v="ORD10226"/>
    <d v="2026-04-15T00:00:00"/>
    <x v="0"/>
    <s v="CUST1069"/>
    <s v="Pooja"/>
    <s v="Pooja"/>
    <x v="2"/>
    <x v="2"/>
    <x v="2"/>
    <x v="18"/>
    <n v="27"/>
    <m/>
    <m/>
    <x v="4"/>
    <n v="2"/>
    <n v="3400"/>
    <n v="0"/>
    <n v="6800"/>
    <s v="Card"/>
    <x v="1"/>
    <n v="135"/>
    <x v="2"/>
    <n v="5"/>
  </r>
  <r>
    <s v="ORD10227"/>
    <d v="2026-02-17T00:00:00"/>
    <x v="1"/>
    <s v="CUST1065"/>
    <s v="Neha"/>
    <s v="Neha"/>
    <x v="0"/>
    <x v="0"/>
    <x v="0"/>
    <x v="4"/>
    <n v="29"/>
    <m/>
    <m/>
    <x v="3"/>
    <n v="1"/>
    <n v="1760"/>
    <m/>
    <n v="1760"/>
    <s v="Card"/>
    <x v="1"/>
    <n v="135"/>
    <x v="0"/>
    <n v="5"/>
  </r>
  <r>
    <s v="ORD10228"/>
    <d v="2026-01-08T00:00:00"/>
    <x v="3"/>
    <s v="CUST1093"/>
    <s v="Sneha"/>
    <s v="Sneha"/>
    <x v="4"/>
    <x v="4"/>
    <x v="4"/>
    <x v="22"/>
    <n v="54"/>
    <m/>
    <m/>
    <x v="4"/>
    <n v="1"/>
    <n v="2600"/>
    <n v="15"/>
    <n v="2600"/>
    <s v="Card"/>
    <x v="1"/>
    <n v="135"/>
    <x v="1"/>
    <n v="0"/>
  </r>
  <r>
    <s v="ORD10229"/>
    <d v="2026-05-30T00:00:00"/>
    <x v="2"/>
    <s v="CUST1086"/>
    <s v="Aman"/>
    <s v="Aman"/>
    <x v="7"/>
    <x v="6"/>
    <x v="7"/>
    <x v="20"/>
    <n v="34"/>
    <m/>
    <m/>
    <x v="3"/>
    <n v="2"/>
    <n v="2052"/>
    <n v="5"/>
    <n v="4104"/>
    <s v="Card"/>
    <x v="1"/>
    <n v="135"/>
    <x v="0"/>
    <n v="3"/>
  </r>
  <r>
    <s v="ORD10230"/>
    <d v="2026-06-11T00:00:00"/>
    <x v="5"/>
    <s v="CUST1124"/>
    <s v="Rohan"/>
    <s v="Rohan"/>
    <x v="4"/>
    <x v="4"/>
    <x v="4"/>
    <x v="8"/>
    <n v="14"/>
    <m/>
    <m/>
    <x v="2"/>
    <n v="1"/>
    <n v="1000"/>
    <n v="10"/>
    <n v="1000"/>
    <s v="UPI"/>
    <x v="0"/>
    <n v="200"/>
    <x v="0"/>
    <n v="1"/>
  </r>
  <r>
    <s v="ORD10231"/>
    <d v="2026-04-16T00:00:00"/>
    <x v="0"/>
    <s v="CUST1046"/>
    <s v="Aman"/>
    <s v="Aman"/>
    <x v="1"/>
    <x v="1"/>
    <x v="1"/>
    <x v="17"/>
    <n v="41"/>
    <m/>
    <m/>
    <x v="4"/>
    <n v="1"/>
    <n v="700"/>
    <n v="10"/>
    <n v="700"/>
    <s v="UPI"/>
    <x v="0"/>
    <n v="200"/>
    <x v="0"/>
    <n v="4"/>
  </r>
  <r>
    <s v="ORD10232"/>
    <d v="2026-04-23T00:00:00"/>
    <x v="0"/>
    <s v="CUST1107"/>
    <s v="Kavya"/>
    <s v="Kavya"/>
    <x v="3"/>
    <x v="3"/>
    <x v="3"/>
    <x v="2"/>
    <n v="36"/>
    <m/>
    <m/>
    <x v="0"/>
    <n v="1"/>
    <n v="1200"/>
    <n v="15"/>
    <n v="1200"/>
    <s v="Card"/>
    <x v="1"/>
    <n v="135"/>
    <x v="0"/>
    <n v="4"/>
  </r>
  <r>
    <s v="ORD10233"/>
    <d v="2026-02-23T00:00:00"/>
    <x v="1"/>
    <s v="CUST1011"/>
    <s v="Simran"/>
    <s v="Simran"/>
    <x v="1"/>
    <x v="1"/>
    <x v="1"/>
    <x v="18"/>
    <n v="27"/>
    <m/>
    <m/>
    <x v="4"/>
    <n v="1"/>
    <n v="2100"/>
    <n v="0"/>
    <n v="2100"/>
    <s v="UPI"/>
    <x v="0"/>
    <n v="200"/>
    <x v="0"/>
    <n v="4"/>
  </r>
  <r>
    <s v="ORD10234"/>
    <d v="2026-05-27T00:00:00"/>
    <x v="2"/>
    <s v="CUST1109"/>
    <s v="Pooja"/>
    <s v="Pooja"/>
    <x v="4"/>
    <x v="4"/>
    <x v="4"/>
    <x v="13"/>
    <n v="28"/>
    <m/>
    <m/>
    <x v="2"/>
    <n v="1"/>
    <n v="150"/>
    <n v="15"/>
    <n v="150"/>
    <s v="COD"/>
    <x v="2"/>
    <n v="129"/>
    <x v="0"/>
    <n v="3"/>
  </r>
  <r>
    <s v="ORD10235"/>
    <d v="2026-01-12T00:00:00"/>
    <x v="3"/>
    <s v="CUST1177"/>
    <s v="Riya"/>
    <s v="Riya"/>
    <x v="6"/>
    <x v="1"/>
    <x v="6"/>
    <x v="16"/>
    <n v="44"/>
    <m/>
    <m/>
    <x v="4"/>
    <n v="3"/>
    <n v="1100"/>
    <n v="15"/>
    <n v="3300"/>
    <s v="COD"/>
    <x v="2"/>
    <n v="129"/>
    <x v="0"/>
    <n v="6"/>
  </r>
  <r>
    <s v="ORD10236"/>
    <d v="2026-06-24T00:00:00"/>
    <x v="5"/>
    <s v="CUST1168"/>
    <s v="Arjun"/>
    <s v="Arjun"/>
    <x v="5"/>
    <x v="5"/>
    <x v="5"/>
    <x v="22"/>
    <n v="54"/>
    <m/>
    <m/>
    <x v="4"/>
    <n v="2"/>
    <n v="3400"/>
    <n v="10"/>
    <n v="6800"/>
    <s v="UPI"/>
    <x v="0"/>
    <n v="200"/>
    <x v="0"/>
    <n v="5"/>
  </r>
  <r>
    <s v="ORD10237"/>
    <d v="2026-03-25T00:00:00"/>
    <x v="4"/>
    <s v="CUST1142"/>
    <s v="Rahul"/>
    <s v="Rahul"/>
    <x v="5"/>
    <x v="5"/>
    <x v="5"/>
    <x v="5"/>
    <n v="31"/>
    <m/>
    <m/>
    <x v="4"/>
    <n v="2"/>
    <n v="1900"/>
    <n v="5"/>
    <n v="3800"/>
    <s v="Card"/>
    <x v="1"/>
    <n v="135"/>
    <x v="0"/>
    <n v="5"/>
  </r>
  <r>
    <s v="ORD10238"/>
    <d v="2026-02-20T00:00:00"/>
    <x v="1"/>
    <s v="CUST1144"/>
    <s v="Rohan"/>
    <s v="Rohan"/>
    <x v="5"/>
    <x v="5"/>
    <x v="5"/>
    <x v="20"/>
    <n v="34"/>
    <m/>
    <m/>
    <x v="3"/>
    <n v="2"/>
    <n v="446"/>
    <n v="0"/>
    <n v="892"/>
    <s v="COD"/>
    <x v="2"/>
    <n v="129"/>
    <x v="0"/>
    <n v="5"/>
  </r>
  <r>
    <s v="ORD10239"/>
    <d v="2026-04-04T00:00:00"/>
    <x v="0"/>
    <s v="CUST1062"/>
    <s v="Rahul"/>
    <s v="Rahul"/>
    <x v="3"/>
    <x v="3"/>
    <x v="3"/>
    <x v="2"/>
    <n v="36"/>
    <m/>
    <m/>
    <x v="0"/>
    <n v="1"/>
    <n v="4786"/>
    <n v="0"/>
    <n v="4786"/>
    <s v="UPI"/>
    <x v="0"/>
    <n v="200"/>
    <x v="1"/>
    <n v="0"/>
  </r>
  <r>
    <s v="ORD10240"/>
    <d v="2026-02-18T00:00:00"/>
    <x v="1"/>
    <s v="CUST1122"/>
    <s v="Rahul"/>
    <s v="Rahul"/>
    <x v="3"/>
    <x v="3"/>
    <x v="3"/>
    <x v="17"/>
    <n v="41"/>
    <m/>
    <m/>
    <x v="4"/>
    <n v="2"/>
    <n v="1000"/>
    <n v="10"/>
    <n v="2000"/>
    <s v="Card"/>
    <x v="1"/>
    <n v="135"/>
    <x v="0"/>
    <n v="3"/>
  </r>
  <r>
    <s v="ORD10241"/>
    <d v="2026-01-30T00:00:00"/>
    <x v="3"/>
    <s v="CUST1048"/>
    <s v="Arjun"/>
    <s v="Arjun"/>
    <x v="4"/>
    <x v="4"/>
    <x v="4"/>
    <x v="24"/>
    <n v="18"/>
    <m/>
    <m/>
    <x v="1"/>
    <n v="2"/>
    <n v="352"/>
    <n v="20"/>
    <n v="704"/>
    <s v="Card"/>
    <x v="1"/>
    <n v="135"/>
    <x v="0"/>
    <n v="1"/>
  </r>
  <r>
    <s v="ORD10242"/>
    <d v="2026-06-09T00:00:00"/>
    <x v="5"/>
    <s v="CUST1157"/>
    <s v="Riya"/>
    <s v="Riya"/>
    <x v="2"/>
    <x v="2"/>
    <x v="2"/>
    <x v="20"/>
    <n v="34"/>
    <m/>
    <m/>
    <x v="3"/>
    <n v="2"/>
    <n v="2271"/>
    <n v="5"/>
    <n v="4542"/>
    <s v="UPI"/>
    <x v="0"/>
    <n v="200"/>
    <x v="0"/>
    <n v="2"/>
  </r>
  <r>
    <s v="ORD10243"/>
    <d v="2026-05-26T00:00:00"/>
    <x v="2"/>
    <s v="CUST1176"/>
    <s v="Nikhil"/>
    <s v="Nikhil"/>
    <x v="7"/>
    <x v="6"/>
    <x v="7"/>
    <x v="5"/>
    <n v="31"/>
    <m/>
    <m/>
    <x v="4"/>
    <n v="1"/>
    <n v="3400"/>
    <n v="0"/>
    <n v="3400"/>
    <s v="COD"/>
    <x v="2"/>
    <n v="129"/>
    <x v="0"/>
    <n v="4"/>
  </r>
  <r>
    <s v="ORD10244"/>
    <d v="2026-04-26T00:00:00"/>
    <x v="0"/>
    <s v="CUST1155"/>
    <s v="Isha"/>
    <s v="Isha"/>
    <x v="7"/>
    <x v="6"/>
    <x v="7"/>
    <x v="20"/>
    <n v="34"/>
    <m/>
    <m/>
    <x v="3"/>
    <n v="1"/>
    <n v="1468"/>
    <n v="10"/>
    <n v="1468"/>
    <s v="UPI"/>
    <x v="0"/>
    <n v="200"/>
    <x v="0"/>
    <n v="3"/>
  </r>
  <r>
    <s v="ORD10245"/>
    <d v="2026-06-23T00:00:00"/>
    <x v="5"/>
    <s v="CUST1122"/>
    <s v="Rahul"/>
    <s v="Rahul"/>
    <x v="3"/>
    <x v="3"/>
    <x v="3"/>
    <x v="16"/>
    <n v="44"/>
    <m/>
    <m/>
    <x v="4"/>
    <n v="1"/>
    <n v="2300"/>
    <n v="15"/>
    <n v="2300"/>
    <s v="Card"/>
    <x v="1"/>
    <n v="135"/>
    <x v="0"/>
    <n v="5"/>
  </r>
  <r>
    <s v="ORD10246"/>
    <d v="2026-05-05T00:00:00"/>
    <x v="2"/>
    <s v="CUST1145"/>
    <s v="Neha"/>
    <s v="Neha"/>
    <x v="2"/>
    <x v="2"/>
    <x v="2"/>
    <x v="5"/>
    <n v="31"/>
    <m/>
    <m/>
    <x v="4"/>
    <n v="1"/>
    <n v="2700"/>
    <n v="25"/>
    <n v="2700"/>
    <s v="Card"/>
    <x v="1"/>
    <n v="135"/>
    <x v="0"/>
    <n v="3"/>
  </r>
  <r>
    <s v="ORD10247"/>
    <d v="2026-04-19T00:00:00"/>
    <x v="0"/>
    <s v="CUST1087"/>
    <s v="Kavya"/>
    <s v="Kavya"/>
    <x v="1"/>
    <x v="1"/>
    <x v="1"/>
    <x v="14"/>
    <n v="26"/>
    <m/>
    <m/>
    <x v="1"/>
    <n v="1"/>
    <n v="454"/>
    <n v="10"/>
    <n v="454"/>
    <s v="UPI"/>
    <x v="0"/>
    <n v="200"/>
    <x v="0"/>
    <n v="3"/>
  </r>
  <r>
    <s v="ORD10248"/>
    <d v="2026-06-28T00:00:00"/>
    <x v="5"/>
    <s v="CUST1129"/>
    <s v="Pooja"/>
    <s v="Pooja"/>
    <x v="2"/>
    <x v="2"/>
    <x v="2"/>
    <x v="14"/>
    <n v="26"/>
    <m/>
    <m/>
    <x v="1"/>
    <n v="1"/>
    <n v="1168"/>
    <n v="10"/>
    <n v="1168"/>
    <s v="Card"/>
    <x v="1"/>
    <n v="135"/>
    <x v="0"/>
    <n v="3"/>
  </r>
  <r>
    <s v="ORD10249"/>
    <d v="2026-04-02T00:00:00"/>
    <x v="0"/>
    <s v="CUST1082"/>
    <s v="Rahul"/>
    <s v="Rahul"/>
    <x v="7"/>
    <x v="6"/>
    <x v="7"/>
    <x v="13"/>
    <n v="28"/>
    <m/>
    <m/>
    <x v="2"/>
    <n v="2"/>
    <n v="850"/>
    <n v="5"/>
    <n v="1700"/>
    <s v="COD"/>
    <x v="2"/>
    <n v="129"/>
    <x v="0"/>
    <n v="3"/>
  </r>
  <r>
    <s v="ORD10250"/>
    <d v="2026-04-14T00:00:00"/>
    <x v="0"/>
    <s v="CUST1054"/>
    <s v="Karan"/>
    <s v="Karan"/>
    <x v="2"/>
    <x v="2"/>
    <x v="2"/>
    <x v="24"/>
    <n v="18"/>
    <m/>
    <m/>
    <x v="1"/>
    <n v="2"/>
    <n v="454"/>
    <n v="0"/>
    <n v="908"/>
    <s v="COD"/>
    <x v="2"/>
    <n v="129"/>
    <x v="0"/>
    <n v="5"/>
  </r>
  <r>
    <s v="ORD10251"/>
    <d v="2026-06-22T00:00:00"/>
    <x v="5"/>
    <s v="CUST1012"/>
    <s v="Vivek"/>
    <s v="Vivek"/>
    <x v="4"/>
    <x v="4"/>
    <x v="4"/>
    <x v="23"/>
    <n v="14"/>
    <m/>
    <m/>
    <x v="0"/>
    <n v="1"/>
    <n v="11958"/>
    <n v="15"/>
    <n v="11958"/>
    <s v="UPI"/>
    <x v="0"/>
    <n v="200"/>
    <x v="0"/>
    <n v="6"/>
  </r>
  <r>
    <s v="ORD10252"/>
    <d v="2026-03-11T00:00:00"/>
    <x v="4"/>
    <s v="CUST1151"/>
    <s v="Simran"/>
    <s v="Simran"/>
    <x v="3"/>
    <x v="3"/>
    <x v="3"/>
    <x v="22"/>
    <n v="54"/>
    <m/>
    <m/>
    <x v="4"/>
    <n v="2"/>
    <n v="1600"/>
    <n v="10"/>
    <n v="3200"/>
    <s v="UPI"/>
    <x v="0"/>
    <n v="200"/>
    <x v="0"/>
    <n v="8"/>
  </r>
  <r>
    <s v="ORD10253"/>
    <d v="2026-05-23T00:00:00"/>
    <x v="2"/>
    <s v="CUST1175"/>
    <s v="Isha"/>
    <s v="Isha"/>
    <x v="7"/>
    <x v="6"/>
    <x v="7"/>
    <x v="10"/>
    <n v="30"/>
    <m/>
    <m/>
    <x v="2"/>
    <n v="2"/>
    <n v="1000"/>
    <n v="20"/>
    <n v="2000"/>
    <s v="Card"/>
    <x v="1"/>
    <n v="135"/>
    <x v="0"/>
    <n v="3"/>
  </r>
  <r>
    <s v="ORD10254"/>
    <d v="2026-01-04T00:00:00"/>
    <x v="3"/>
    <s v="CUST1147"/>
    <s v="Kavya"/>
    <s v="Kavya"/>
    <x v="0"/>
    <x v="0"/>
    <x v="0"/>
    <x v="17"/>
    <n v="41"/>
    <m/>
    <m/>
    <x v="4"/>
    <n v="2"/>
    <n v="1200"/>
    <n v="5"/>
    <n v="2400"/>
    <s v="COD"/>
    <x v="2"/>
    <n v="129"/>
    <x v="1"/>
    <n v="0"/>
  </r>
  <r>
    <s v="ORD10255"/>
    <d v="2026-03-04T00:00:00"/>
    <x v="4"/>
    <s v="CUST1054"/>
    <s v="Karan"/>
    <s v="Karan"/>
    <x v="5"/>
    <x v="5"/>
    <x v="5"/>
    <x v="18"/>
    <n v="27"/>
    <m/>
    <m/>
    <x v="4"/>
    <n v="1"/>
    <n v="1900"/>
    <n v="20"/>
    <n v="1900"/>
    <s v="UPI"/>
    <x v="0"/>
    <n v="200"/>
    <x v="0"/>
    <n v="6"/>
  </r>
  <r>
    <s v="ORD10256"/>
    <d v="2026-05-18T00:00:00"/>
    <x v="2"/>
    <s v="CUST1163"/>
    <s v="Priya"/>
    <s v="Priya"/>
    <x v="3"/>
    <x v="3"/>
    <x v="3"/>
    <x v="22"/>
    <n v="54"/>
    <m/>
    <m/>
    <x v="4"/>
    <n v="1"/>
    <n v="600"/>
    <n v="15"/>
    <n v="600"/>
    <s v="Card"/>
    <x v="1"/>
    <n v="135"/>
    <x v="0"/>
    <n v="6"/>
  </r>
  <r>
    <s v="ORD10257"/>
    <d v="2026-01-19T00:00:00"/>
    <x v="3"/>
    <s v="CUST1035"/>
    <s v="Isha"/>
    <s v="Isha"/>
    <x v="3"/>
    <x v="3"/>
    <x v="3"/>
    <x v="10"/>
    <n v="30"/>
    <m/>
    <m/>
    <x v="2"/>
    <n v="1"/>
    <n v="150"/>
    <n v="10"/>
    <n v="150"/>
    <s v="UPI"/>
    <x v="0"/>
    <n v="200"/>
    <x v="0"/>
    <n v="2"/>
  </r>
  <r>
    <s v="ORD10258"/>
    <d v="2026-04-14T00:00:00"/>
    <x v="0"/>
    <s v="CUST1173"/>
    <s v="Sneha"/>
    <s v="Sneha"/>
    <x v="2"/>
    <x v="2"/>
    <x v="2"/>
    <x v="11"/>
    <n v="17"/>
    <m/>
    <m/>
    <x v="1"/>
    <n v="1"/>
    <n v="1729"/>
    <n v="5"/>
    <n v="1729"/>
    <s v="Card"/>
    <x v="1"/>
    <n v="135"/>
    <x v="0"/>
    <n v="3"/>
  </r>
  <r>
    <s v="ORD10259"/>
    <d v="2026-02-03T00:00:00"/>
    <x v="1"/>
    <s v="CUST1111"/>
    <s v="Simran"/>
    <s v="Simran"/>
    <x v="3"/>
    <x v="3"/>
    <x v="3"/>
    <x v="12"/>
    <n v="41"/>
    <m/>
    <m/>
    <x v="0"/>
    <n v="1"/>
    <n v="13751"/>
    <n v="15"/>
    <n v="13751"/>
    <s v="UPI"/>
    <x v="0"/>
    <n v="200"/>
    <x v="0"/>
    <n v="4"/>
  </r>
  <r>
    <s v="ORD10260"/>
    <d v="2026-06-08T00:00:00"/>
    <x v="5"/>
    <s v="CUST1013"/>
    <s v="Sneha"/>
    <s v="Sneha"/>
    <x v="2"/>
    <x v="2"/>
    <x v="2"/>
    <x v="5"/>
    <n v="31"/>
    <m/>
    <m/>
    <x v="4"/>
    <n v="1"/>
    <n v="2600"/>
    <n v="10"/>
    <n v="2600"/>
    <s v="UPI"/>
    <x v="0"/>
    <n v="200"/>
    <x v="0"/>
    <n v="4"/>
  </r>
  <r>
    <s v="ORD10261"/>
    <d v="2026-01-21T00:00:00"/>
    <x v="3"/>
    <s v="CUST1148"/>
    <s v="Arjun"/>
    <s v="Arjun"/>
    <x v="3"/>
    <x v="3"/>
    <x v="3"/>
    <x v="17"/>
    <n v="41"/>
    <m/>
    <m/>
    <x v="4"/>
    <n v="1"/>
    <n v="2600"/>
    <n v="15"/>
    <n v="2600"/>
    <s v="COD"/>
    <x v="2"/>
    <n v="129"/>
    <x v="0"/>
    <n v="5"/>
  </r>
  <r>
    <s v="ORD10262"/>
    <d v="2026-06-09T00:00:00"/>
    <x v="5"/>
    <s v="CUST1008"/>
    <s v="Arjun"/>
    <s v="Arjun"/>
    <x v="4"/>
    <x v="4"/>
    <x v="4"/>
    <x v="22"/>
    <n v="54"/>
    <m/>
    <m/>
    <x v="4"/>
    <n v="2"/>
    <n v="2500"/>
    <n v="10"/>
    <n v="5000"/>
    <s v="Card"/>
    <x v="1"/>
    <n v="135"/>
    <x v="0"/>
    <n v="6"/>
  </r>
  <r>
    <s v="ORD10263"/>
    <d v="2026-01-12T00:00:00"/>
    <x v="3"/>
    <s v="CUST1154"/>
    <s v="Karan"/>
    <s v="Karan"/>
    <x v="4"/>
    <x v="4"/>
    <x v="4"/>
    <x v="16"/>
    <n v="44"/>
    <m/>
    <m/>
    <x v="4"/>
    <n v="1"/>
    <n v="2800"/>
    <n v="0"/>
    <n v="2800"/>
    <s v="COD"/>
    <x v="2"/>
    <n v="129"/>
    <x v="0"/>
    <n v="5"/>
  </r>
  <r>
    <s v="ORD10264"/>
    <d v="2026-01-18T00:00:00"/>
    <x v="3"/>
    <s v="CUST1139"/>
    <s v="Meera"/>
    <s v="Meera"/>
    <x v="2"/>
    <x v="2"/>
    <x v="2"/>
    <x v="1"/>
    <n v="20"/>
    <m/>
    <m/>
    <x v="1"/>
    <n v="1"/>
    <n v="607"/>
    <n v="5"/>
    <n v="607"/>
    <s v="COD"/>
    <x v="2"/>
    <n v="129"/>
    <x v="0"/>
    <n v="2"/>
  </r>
  <r>
    <s v="ORD10265"/>
    <d v="2026-05-01T00:00:00"/>
    <x v="2"/>
    <s v="CUST1179"/>
    <s v="Meera"/>
    <s v="Meera"/>
    <x v="2"/>
    <x v="2"/>
    <x v="2"/>
    <x v="5"/>
    <n v="31"/>
    <m/>
    <m/>
    <x v="4"/>
    <n v="1"/>
    <n v="600"/>
    <n v="15"/>
    <n v="600"/>
    <s v="COD"/>
    <x v="2"/>
    <n v="129"/>
    <x v="0"/>
    <n v="4"/>
  </r>
  <r>
    <s v="ORD10266"/>
    <d v="2026-06-14T00:00:00"/>
    <x v="5"/>
    <s v="CUST1149"/>
    <s v="Pooja"/>
    <s v="Pooja"/>
    <x v="3"/>
    <x v="3"/>
    <x v="3"/>
    <x v="0"/>
    <n v="55"/>
    <m/>
    <m/>
    <x v="0"/>
    <n v="3"/>
    <n v="1200"/>
    <n v="15"/>
    <n v="3600"/>
    <s v="Card"/>
    <x v="1"/>
    <n v="135"/>
    <x v="0"/>
    <n v="4"/>
  </r>
  <r>
    <s v="ORD10267"/>
    <d v="2026-01-13T00:00:00"/>
    <x v="3"/>
    <s v="CUST1103"/>
    <s v="Priya"/>
    <s v="Priya"/>
    <x v="3"/>
    <x v="3"/>
    <x v="3"/>
    <x v="5"/>
    <n v="31"/>
    <m/>
    <m/>
    <x v="4"/>
    <n v="2"/>
    <n v="2100"/>
    <n v="20"/>
    <n v="4200"/>
    <s v="UPI"/>
    <x v="0"/>
    <n v="200"/>
    <x v="0"/>
    <n v="4"/>
  </r>
  <r>
    <s v="ORD10268"/>
    <d v="2026-01-28T00:00:00"/>
    <x v="3"/>
    <s v="CUST1141"/>
    <s v="Ananya"/>
    <s v="Ananya"/>
    <x v="5"/>
    <x v="5"/>
    <x v="5"/>
    <x v="16"/>
    <n v="44"/>
    <m/>
    <m/>
    <x v="4"/>
    <n v="2"/>
    <n v="1800"/>
    <n v="0"/>
    <n v="3600"/>
    <s v="COD"/>
    <x v="2"/>
    <n v="129"/>
    <x v="0"/>
    <n v="3"/>
  </r>
  <r>
    <s v="ORD10269"/>
    <d v="2026-04-10T00:00:00"/>
    <x v="0"/>
    <s v="CUST1008"/>
    <s v="Arjun"/>
    <s v="Arjun"/>
    <x v="5"/>
    <x v="5"/>
    <x v="5"/>
    <x v="21"/>
    <n v="35"/>
    <m/>
    <m/>
    <x v="0"/>
    <n v="1"/>
    <n v="10165"/>
    <n v="20"/>
    <n v="10165"/>
    <s v="UPI"/>
    <x v="0"/>
    <n v="200"/>
    <x v="0"/>
    <n v="1"/>
  </r>
  <r>
    <s v="ORD10270"/>
    <d v="2026-01-07T00:00:00"/>
    <x v="3"/>
    <s v="CUST1013"/>
    <s v="Sneha"/>
    <s v="Sneha"/>
    <x v="3"/>
    <x v="3"/>
    <x v="3"/>
    <x v="11"/>
    <n v="17"/>
    <m/>
    <m/>
    <x v="1"/>
    <n v="1"/>
    <n v="811"/>
    <n v="15"/>
    <n v="811"/>
    <s v="UPI"/>
    <x v="0"/>
    <n v="200"/>
    <x v="1"/>
    <n v="0"/>
  </r>
  <r>
    <s v="ORD10271"/>
    <d v="2026-02-26T00:00:00"/>
    <x v="1"/>
    <s v="CUST1002"/>
    <s v="Rahul"/>
    <s v="Rahul"/>
    <x v="0"/>
    <x v="0"/>
    <x v="0"/>
    <x v="14"/>
    <n v="26"/>
    <m/>
    <m/>
    <x v="1"/>
    <n v="1"/>
    <n v="811"/>
    <n v="10"/>
    <n v="811"/>
    <s v="UPI"/>
    <x v="0"/>
    <n v="200"/>
    <x v="1"/>
    <n v="0"/>
  </r>
  <r>
    <s v="ORD10272"/>
    <d v="2026-03-22T00:00:00"/>
    <x v="4"/>
    <s v="CUST1171"/>
    <s v="Simran"/>
    <s v="Simran"/>
    <x v="3"/>
    <x v="3"/>
    <x v="3"/>
    <x v="17"/>
    <n v="41"/>
    <m/>
    <m/>
    <x v="4"/>
    <n v="1"/>
    <n v="700"/>
    <n v="10"/>
    <n v="700"/>
    <s v="Card"/>
    <x v="1"/>
    <n v="135"/>
    <x v="0"/>
    <n v="6"/>
  </r>
  <r>
    <s v="ORD10273"/>
    <d v="2026-06-02T00:00:00"/>
    <x v="5"/>
    <s v="CUST1170"/>
    <s v="Aditya"/>
    <s v="Aditya"/>
    <x v="1"/>
    <x v="1"/>
    <x v="1"/>
    <x v="4"/>
    <n v="29"/>
    <m/>
    <m/>
    <x v="3"/>
    <n v="1"/>
    <n v="1687"/>
    <n v="5"/>
    <n v="1687"/>
    <s v="UPI"/>
    <x v="0"/>
    <n v="200"/>
    <x v="0"/>
    <n v="4"/>
  </r>
  <r>
    <s v="ORD10274"/>
    <d v="2026-06-24T00:00:00"/>
    <x v="5"/>
    <s v="CUST1016"/>
    <s v="Nikhil"/>
    <s v="Nikhil"/>
    <x v="0"/>
    <x v="0"/>
    <x v="0"/>
    <x v="0"/>
    <n v="55"/>
    <m/>
    <m/>
    <x v="0"/>
    <n v="2"/>
    <n v="44232"/>
    <n v="10"/>
    <n v="88464"/>
    <s v="UPI"/>
    <x v="0"/>
    <n v="200"/>
    <x v="0"/>
    <n v="5"/>
  </r>
  <r>
    <s v="ORD10275"/>
    <d v="2026-02-12T00:00:00"/>
    <x v="1"/>
    <s v="CUST1059"/>
    <s v="Meera"/>
    <s v="Meera"/>
    <x v="6"/>
    <x v="1"/>
    <x v="6"/>
    <x v="20"/>
    <n v="34"/>
    <m/>
    <m/>
    <x v="3"/>
    <n v="2"/>
    <n v="1322"/>
    <n v="10"/>
    <n v="2644"/>
    <s v="COD"/>
    <x v="2"/>
    <n v="129"/>
    <x v="0"/>
    <n v="2"/>
  </r>
  <r>
    <s v="ORD10276"/>
    <d v="2026-05-12T00:00:00"/>
    <x v="2"/>
    <s v="CUST1004"/>
    <s v="Rohan"/>
    <s v="Rohan"/>
    <x v="5"/>
    <x v="5"/>
    <x v="5"/>
    <x v="14"/>
    <n v="26"/>
    <m/>
    <m/>
    <x v="1"/>
    <n v="1"/>
    <n v="301"/>
    <n v="10"/>
    <n v="301"/>
    <s v="UPI"/>
    <x v="0"/>
    <n v="200"/>
    <x v="0"/>
    <n v="2"/>
  </r>
  <r>
    <s v="ORD10277"/>
    <d v="2026-03-31T00:00:00"/>
    <x v="4"/>
    <s v="CUST1026"/>
    <s v="Aman"/>
    <s v="Aman"/>
    <x v="1"/>
    <x v="1"/>
    <x v="1"/>
    <x v="2"/>
    <n v="36"/>
    <m/>
    <m/>
    <x v="0"/>
    <n v="1"/>
    <n v="31681"/>
    <n v="10"/>
    <n v="31681"/>
    <s v="COD"/>
    <x v="2"/>
    <n v="129"/>
    <x v="0"/>
    <n v="4"/>
  </r>
  <r>
    <s v="ORD10278"/>
    <d v="2026-01-25T00:00:00"/>
    <x v="3"/>
    <s v="CUST1065"/>
    <s v="Neha"/>
    <s v="Neha"/>
    <x v="0"/>
    <x v="0"/>
    <x v="0"/>
    <x v="6"/>
    <n v="33"/>
    <m/>
    <m/>
    <x v="3"/>
    <n v="2"/>
    <n v="1176"/>
    <n v="10"/>
    <n v="2352"/>
    <s v="UPI"/>
    <x v="0"/>
    <n v="200"/>
    <x v="0"/>
    <n v="5"/>
  </r>
  <r>
    <s v="ORD10279"/>
    <d v="2026-02-18T00:00:00"/>
    <x v="1"/>
    <s v="CUST1178"/>
    <s v="Varun"/>
    <s v="Varun"/>
    <x v="1"/>
    <x v="1"/>
    <x v="1"/>
    <x v="22"/>
    <n v="54"/>
    <m/>
    <m/>
    <x v="4"/>
    <n v="3"/>
    <n v="2900"/>
    <n v="15"/>
    <n v="8700"/>
    <s v="UPI"/>
    <x v="0"/>
    <n v="200"/>
    <x v="0"/>
    <n v="3"/>
  </r>
  <r>
    <s v="ORD10280"/>
    <d v="2026-06-15T00:00:00"/>
    <x v="5"/>
    <s v="CUST1078"/>
    <s v="Varun"/>
    <s v="Varun"/>
    <x v="4"/>
    <x v="4"/>
    <x v="4"/>
    <x v="0"/>
    <n v="55"/>
    <m/>
    <m/>
    <x v="0"/>
    <n v="2"/>
    <n v="46025"/>
    <n v="0"/>
    <n v="92050"/>
    <s v="UPI"/>
    <x v="0"/>
    <n v="200"/>
    <x v="0"/>
    <n v="3"/>
  </r>
  <r>
    <s v="ORD10281"/>
    <d v="2026-02-15T00:00:00"/>
    <x v="1"/>
    <s v="CUST1156"/>
    <s v="Nikhil"/>
    <s v="Nikhil"/>
    <x v="4"/>
    <x v="4"/>
    <x v="4"/>
    <x v="0"/>
    <n v="55"/>
    <m/>
    <m/>
    <x v="0"/>
    <n v="1"/>
    <n v="13751"/>
    <n v="0"/>
    <n v="13751"/>
    <s v="COD"/>
    <x v="2"/>
    <n v="129"/>
    <x v="2"/>
    <n v="4"/>
  </r>
  <r>
    <s v="ORD10282"/>
    <d v="2026-03-11T00:00:00"/>
    <x v="4"/>
    <s v="CUST1101"/>
    <s v="Ananya"/>
    <s v="Ananya"/>
    <x v="3"/>
    <x v="3"/>
    <x v="3"/>
    <x v="20"/>
    <n v="34"/>
    <m/>
    <m/>
    <x v="3"/>
    <n v="1"/>
    <n v="1395"/>
    <n v="25"/>
    <n v="1395"/>
    <s v="Card"/>
    <x v="1"/>
    <n v="135"/>
    <x v="0"/>
    <n v="4"/>
  </r>
  <r>
    <s v="ORD10283"/>
    <d v="2026-03-30T00:00:00"/>
    <x v="4"/>
    <s v="CUST1080"/>
    <s v="Aarav"/>
    <s v="Aarav"/>
    <x v="5"/>
    <x v="5"/>
    <x v="5"/>
    <x v="12"/>
    <n v="41"/>
    <m/>
    <m/>
    <x v="0"/>
    <n v="1"/>
    <n v="46025"/>
    <n v="15"/>
    <n v="46025"/>
    <s v="COD"/>
    <x v="2"/>
    <n v="129"/>
    <x v="0"/>
    <n v="2"/>
  </r>
  <r>
    <s v="ORD10284"/>
    <d v="2026-06-11T00:00:00"/>
    <x v="5"/>
    <s v="CUST1086"/>
    <s v="Aman"/>
    <s v="Aman"/>
    <x v="6"/>
    <x v="1"/>
    <x v="6"/>
    <x v="2"/>
    <n v="36"/>
    <m/>
    <m/>
    <x v="0"/>
    <n v="1"/>
    <n v="26302"/>
    <n v="10"/>
    <n v="26302"/>
    <s v="COD"/>
    <x v="2"/>
    <n v="129"/>
    <x v="2"/>
    <n v="6"/>
  </r>
  <r>
    <s v="ORD10285"/>
    <d v="2026-04-03T00:00:00"/>
    <x v="0"/>
    <s v="CUST1066"/>
    <s v="Aman"/>
    <s v="Aman"/>
    <x v="4"/>
    <x v="4"/>
    <x v="4"/>
    <x v="12"/>
    <n v="41"/>
    <m/>
    <m/>
    <x v="0"/>
    <n v="1"/>
    <n v="6579"/>
    <n v="20"/>
    <n v="6579"/>
    <s v="UPI"/>
    <x v="0"/>
    <n v="200"/>
    <x v="0"/>
    <n v="3"/>
  </r>
  <r>
    <s v="ORD10286"/>
    <d v="2026-02-24T00:00:00"/>
    <x v="1"/>
    <s v="CUST1009"/>
    <s v="Pooja"/>
    <s v="Pooja"/>
    <x v="6"/>
    <x v="1"/>
    <x v="6"/>
    <x v="0"/>
    <n v="55"/>
    <m/>
    <m/>
    <x v="0"/>
    <n v="1"/>
    <n v="47818"/>
    <n v="10"/>
    <n v="47818"/>
    <s v="Card"/>
    <x v="1"/>
    <n v="135"/>
    <x v="0"/>
    <n v="2"/>
  </r>
  <r>
    <s v="ORD10287"/>
    <d v="2026-06-04T00:00:00"/>
    <x v="5"/>
    <s v="CUST1090"/>
    <s v="Aditya"/>
    <s v="Aditya"/>
    <x v="1"/>
    <x v="1"/>
    <x v="1"/>
    <x v="17"/>
    <n v="41"/>
    <m/>
    <m/>
    <x v="4"/>
    <n v="1"/>
    <n v="3300"/>
    <n v="10"/>
    <n v="3300"/>
    <s v="UPI"/>
    <x v="0"/>
    <n v="200"/>
    <x v="0"/>
    <n v="4"/>
  </r>
  <r>
    <s v="ORD10288"/>
    <d v="2026-01-17T00:00:00"/>
    <x v="3"/>
    <s v="CUST1109"/>
    <s v="Pooja"/>
    <s v="Pooja"/>
    <x v="0"/>
    <x v="0"/>
    <x v="0"/>
    <x v="22"/>
    <n v="54"/>
    <m/>
    <m/>
    <x v="4"/>
    <n v="1"/>
    <n v="2500"/>
    <n v="10"/>
    <n v="2500"/>
    <s v="UPI"/>
    <x v="0"/>
    <n v="200"/>
    <x v="0"/>
    <n v="4"/>
  </r>
  <r>
    <s v="ORD10289"/>
    <d v="2026-05-28T00:00:00"/>
    <x v="2"/>
    <s v="CUST1179"/>
    <s v="Meera"/>
    <s v="Meera"/>
    <x v="3"/>
    <x v="3"/>
    <x v="3"/>
    <x v="6"/>
    <n v="33"/>
    <m/>
    <m/>
    <x v="3"/>
    <n v="1"/>
    <n v="884"/>
    <n v="0"/>
    <n v="884"/>
    <s v="UPI"/>
    <x v="0"/>
    <n v="200"/>
    <x v="0"/>
    <n v="1"/>
  </r>
  <r>
    <s v="ORD10290"/>
    <d v="2026-05-29T00:00:00"/>
    <x v="2"/>
    <s v="CUST1149"/>
    <s v="Pooja"/>
    <s v="Pooja"/>
    <x v="4"/>
    <x v="4"/>
    <x v="4"/>
    <x v="24"/>
    <n v="18"/>
    <m/>
    <m/>
    <x v="1"/>
    <n v="1"/>
    <n v="862"/>
    <n v="20"/>
    <n v="862"/>
    <s v="Net Banking"/>
    <x v="3"/>
    <n v="36"/>
    <x v="1"/>
    <n v="0"/>
  </r>
  <r>
    <s v="ORD10291"/>
    <d v="2026-05-12T00:00:00"/>
    <x v="2"/>
    <s v="CUST1046"/>
    <s v="Aman"/>
    <s v="Aman"/>
    <x v="0"/>
    <x v="0"/>
    <x v="0"/>
    <x v="3"/>
    <n v="29"/>
    <m/>
    <m/>
    <x v="2"/>
    <n v="1"/>
    <n v="1100"/>
    <n v="5"/>
    <n v="1100"/>
    <s v="UPI"/>
    <x v="0"/>
    <n v="200"/>
    <x v="0"/>
    <n v="4"/>
  </r>
  <r>
    <s v="ORD10292"/>
    <d v="2026-06-05T00:00:00"/>
    <x v="5"/>
    <s v="CUST1004"/>
    <s v="Rohan"/>
    <s v="Rohan"/>
    <x v="7"/>
    <x v="6"/>
    <x v="7"/>
    <x v="16"/>
    <n v="44"/>
    <m/>
    <m/>
    <x v="4"/>
    <n v="2"/>
    <n v="1900"/>
    <n v="10"/>
    <n v="3800"/>
    <s v="UPI"/>
    <x v="0"/>
    <n v="200"/>
    <x v="0"/>
    <n v="4"/>
  </r>
  <r>
    <s v="ORD10293"/>
    <d v="2026-03-08T00:00:00"/>
    <x v="4"/>
    <s v="CUST1169"/>
    <s v="Pooja"/>
    <s v="Pooja"/>
    <x v="4"/>
    <x v="4"/>
    <x v="4"/>
    <x v="18"/>
    <n v="27"/>
    <m/>
    <m/>
    <x v="4"/>
    <n v="1"/>
    <n v="2800"/>
    <n v="20"/>
    <n v="2800"/>
    <s v="UPI"/>
    <x v="0"/>
    <n v="200"/>
    <x v="0"/>
    <n v="6"/>
  </r>
  <r>
    <s v="ORD10294"/>
    <d v="2026-02-26T00:00:00"/>
    <x v="1"/>
    <s v="CUST1169"/>
    <s v="Pooja"/>
    <s v="Pooja"/>
    <x v="7"/>
    <x v="6"/>
    <x v="7"/>
    <x v="0"/>
    <n v="55"/>
    <m/>
    <m/>
    <x v="0"/>
    <n v="4"/>
    <n v="44232"/>
    <n v="5"/>
    <n v="176928"/>
    <s v="UPI"/>
    <x v="0"/>
    <n v="200"/>
    <x v="0"/>
    <n v="4"/>
  </r>
  <r>
    <s v="ORD10295"/>
    <d v="2026-05-21T00:00:00"/>
    <x v="2"/>
    <s v="CUST1047"/>
    <s v="Kavya"/>
    <s v="Kavya"/>
    <x v="4"/>
    <x v="4"/>
    <x v="4"/>
    <x v="18"/>
    <n v="27"/>
    <m/>
    <m/>
    <x v="4"/>
    <n v="1"/>
    <n v="2900"/>
    <n v="5"/>
    <n v="2900"/>
    <s v="UPI"/>
    <x v="0"/>
    <n v="200"/>
    <x v="0"/>
    <n v="3"/>
  </r>
  <r>
    <s v="ORD10296"/>
    <d v="2026-04-28T00:00:00"/>
    <x v="0"/>
    <s v="CUST1009"/>
    <s v="Pooja"/>
    <s v="Pooja"/>
    <x v="4"/>
    <x v="4"/>
    <x v="4"/>
    <x v="0"/>
    <n v="55"/>
    <m/>
    <m/>
    <x v="0"/>
    <n v="1"/>
    <n v="38853"/>
    <n v="10"/>
    <n v="38853"/>
    <s v="UPI"/>
    <x v="0"/>
    <n v="200"/>
    <x v="0"/>
    <n v="2"/>
  </r>
  <r>
    <s v="ORD10297"/>
    <d v="2026-05-19T00:00:00"/>
    <x v="2"/>
    <s v="CUST1065"/>
    <s v="Neha"/>
    <s v="Neha"/>
    <x v="7"/>
    <x v="6"/>
    <x v="7"/>
    <x v="17"/>
    <n v="41"/>
    <m/>
    <m/>
    <x v="4"/>
    <n v="3"/>
    <n v="800"/>
    <n v="10"/>
    <n v="2400"/>
    <s v="UPI"/>
    <x v="0"/>
    <n v="200"/>
    <x v="0"/>
    <n v="5"/>
  </r>
  <r>
    <s v="ORD10298"/>
    <d v="2026-02-20T00:00:00"/>
    <x v="1"/>
    <s v="CUST1169"/>
    <s v="Pooja"/>
    <s v="Pooja"/>
    <x v="2"/>
    <x v="2"/>
    <x v="2"/>
    <x v="3"/>
    <n v="29"/>
    <m/>
    <m/>
    <x v="2"/>
    <n v="1"/>
    <n v="500"/>
    <n v="0"/>
    <n v="500"/>
    <s v="COD"/>
    <x v="2"/>
    <n v="129"/>
    <x v="0"/>
    <n v="1"/>
  </r>
  <r>
    <s v="ORD10299"/>
    <d v="2026-03-14T00:00:00"/>
    <x v="4"/>
    <s v="CUST1065"/>
    <s v="Neha"/>
    <s v="Neha"/>
    <x v="2"/>
    <x v="2"/>
    <x v="2"/>
    <x v="22"/>
    <n v="54"/>
    <m/>
    <m/>
    <x v="4"/>
    <n v="2"/>
    <n v="2500"/>
    <n v="15"/>
    <n v="5000"/>
    <s v="COD"/>
    <x v="2"/>
    <n v="129"/>
    <x v="0"/>
    <n v="4"/>
  </r>
  <r>
    <s v="ORD10300"/>
    <d v="2026-03-22T00:00:00"/>
    <x v="4"/>
    <s v="CUST1132"/>
    <s v="Vivek"/>
    <s v="Vivek"/>
    <x v="2"/>
    <x v="2"/>
    <x v="2"/>
    <x v="2"/>
    <n v="36"/>
    <m/>
    <m/>
    <x v="0"/>
    <n v="1"/>
    <n v="31681"/>
    <n v="15"/>
    <n v="31681"/>
    <s v="UPI"/>
    <x v="0"/>
    <n v="200"/>
    <x v="0"/>
    <n v="5"/>
  </r>
  <r>
    <s v="ORD10301"/>
    <d v="2026-02-28T00:00:00"/>
    <x v="1"/>
    <s v="CUST1013"/>
    <s v="Sneha"/>
    <s v="Sneha"/>
    <x v="4"/>
    <x v="4"/>
    <x v="4"/>
    <x v="7"/>
    <n v="23"/>
    <m/>
    <m/>
    <x v="1"/>
    <n v="1"/>
    <n v="1066"/>
    <n v="5"/>
    <n v="1066"/>
    <s v="UPI"/>
    <x v="0"/>
    <n v="200"/>
    <x v="0"/>
    <n v="3"/>
  </r>
  <r>
    <s v="ORD10302"/>
    <d v="2026-03-05T00:00:00"/>
    <x v="4"/>
    <s v="CUST1072"/>
    <s v="Vivek"/>
    <s v="Vivek"/>
    <x v="6"/>
    <x v="1"/>
    <x v="6"/>
    <x v="10"/>
    <n v="30"/>
    <m/>
    <m/>
    <x v="2"/>
    <n v="2"/>
    <n v="650"/>
    <n v="0"/>
    <n v="1300"/>
    <s v="UPI"/>
    <x v="0"/>
    <n v="200"/>
    <x v="0"/>
    <n v="2"/>
  </r>
  <r>
    <s v="ORD10303"/>
    <d v="2026-01-07T00:00:00"/>
    <x v="3"/>
    <s v="CUST1113"/>
    <s v="Sneha"/>
    <s v="Sneha"/>
    <x v="2"/>
    <x v="2"/>
    <x v="2"/>
    <x v="3"/>
    <n v="29"/>
    <m/>
    <m/>
    <x v="2"/>
    <n v="4"/>
    <n v="900"/>
    <n v="10"/>
    <n v="3600"/>
    <s v="UPI"/>
    <x v="0"/>
    <n v="200"/>
    <x v="0"/>
    <n v="3"/>
  </r>
  <r>
    <s v="ORD10304"/>
    <d v="2026-01-12T00:00:00"/>
    <x v="3"/>
    <s v="CUST1019"/>
    <s v="Meera"/>
    <s v="Meera"/>
    <x v="2"/>
    <x v="2"/>
    <x v="2"/>
    <x v="5"/>
    <n v="31"/>
    <m/>
    <m/>
    <x v="4"/>
    <n v="1"/>
    <n v="1600"/>
    <n v="5"/>
    <n v="1600"/>
    <s v="COD"/>
    <x v="2"/>
    <n v="129"/>
    <x v="0"/>
    <n v="4"/>
  </r>
  <r>
    <s v="ORD10305"/>
    <d v="2026-05-03T00:00:00"/>
    <x v="2"/>
    <s v="CUST1147"/>
    <s v="Kavya"/>
    <s v="Kavya"/>
    <x v="3"/>
    <x v="3"/>
    <x v="3"/>
    <x v="22"/>
    <n v="54"/>
    <m/>
    <m/>
    <x v="4"/>
    <n v="1"/>
    <n v="500"/>
    <n v="10"/>
    <n v="500"/>
    <s v="Card"/>
    <x v="1"/>
    <n v="135"/>
    <x v="0"/>
    <n v="2"/>
  </r>
  <r>
    <s v="ORD10306"/>
    <d v="2026-05-08T00:00:00"/>
    <x v="2"/>
    <s v="CUST1006"/>
    <s v="Aman"/>
    <s v="Aman"/>
    <x v="6"/>
    <x v="1"/>
    <x v="6"/>
    <x v="0"/>
    <n v="55"/>
    <m/>
    <m/>
    <x v="0"/>
    <n v="1"/>
    <n v="42439"/>
    <n v="5"/>
    <n v="42439"/>
    <s v="Net Banking"/>
    <x v="3"/>
    <n v="36"/>
    <x v="0"/>
    <n v="2"/>
  </r>
  <r>
    <s v="ORD10307"/>
    <d v="2026-02-27T00:00:00"/>
    <x v="1"/>
    <s v="CUST1131"/>
    <s v="Simran"/>
    <s v="Simran"/>
    <x v="3"/>
    <x v="3"/>
    <x v="3"/>
    <x v="18"/>
    <n v="27"/>
    <m/>
    <m/>
    <x v="4"/>
    <n v="2"/>
    <n v="2200"/>
    <n v="5"/>
    <n v="4400"/>
    <s v="UPI"/>
    <x v="0"/>
    <n v="200"/>
    <x v="0"/>
    <n v="5"/>
  </r>
  <r>
    <s v="ORD10308"/>
    <d v="2026-01-10T00:00:00"/>
    <x v="3"/>
    <s v="CUST1148"/>
    <s v="Arjun"/>
    <s v="Arjun"/>
    <x v="4"/>
    <x v="4"/>
    <x v="4"/>
    <x v="1"/>
    <n v="20"/>
    <m/>
    <m/>
    <x v="1"/>
    <n v="1"/>
    <n v="1627"/>
    <n v="10"/>
    <n v="1627"/>
    <s v="UPI"/>
    <x v="0"/>
    <n v="200"/>
    <x v="0"/>
    <n v="2"/>
  </r>
  <r>
    <s v="ORD10309"/>
    <d v="2026-04-18T00:00:00"/>
    <x v="0"/>
    <s v="CUST1073"/>
    <s v="Sneha"/>
    <s v="Sneha"/>
    <x v="4"/>
    <x v="4"/>
    <x v="4"/>
    <x v="12"/>
    <n v="41"/>
    <m/>
    <m/>
    <x v="0"/>
    <n v="1"/>
    <n v="53197"/>
    <n v="15"/>
    <n v="53197"/>
    <s v="UPI"/>
    <x v="0"/>
    <n v="200"/>
    <x v="0"/>
    <n v="3"/>
  </r>
  <r>
    <s v="ORD10310"/>
    <d v="2026-04-06T00:00:00"/>
    <x v="0"/>
    <s v="CUST1123"/>
    <s v="Priya"/>
    <s v="Priya"/>
    <x v="7"/>
    <x v="6"/>
    <x v="7"/>
    <x v="22"/>
    <n v="54"/>
    <m/>
    <m/>
    <x v="4"/>
    <n v="1"/>
    <n v="3100"/>
    <n v="20"/>
    <n v="3100"/>
    <s v="Net Banking"/>
    <x v="3"/>
    <n v="36"/>
    <x v="0"/>
    <n v="5"/>
  </r>
  <r>
    <s v="ORD10311"/>
    <d v="2026-01-22T00:00:00"/>
    <x v="3"/>
    <s v="CUST1083"/>
    <s v="Priya"/>
    <s v="Priya"/>
    <x v="7"/>
    <x v="6"/>
    <x v="7"/>
    <x v="18"/>
    <n v="27"/>
    <m/>
    <m/>
    <x v="4"/>
    <n v="1"/>
    <n v="3200"/>
    <n v="5"/>
    <n v="3200"/>
    <s v="Net Banking"/>
    <x v="3"/>
    <n v="36"/>
    <x v="0"/>
    <n v="5"/>
  </r>
  <r>
    <s v="ORD10312"/>
    <d v="2026-05-09T00:00:00"/>
    <x v="2"/>
    <s v="CUST1127"/>
    <m/>
    <s v=""/>
    <x v="2"/>
    <x v="2"/>
    <x v="2"/>
    <x v="1"/>
    <n v="20"/>
    <m/>
    <m/>
    <x v="1"/>
    <n v="4"/>
    <n v="505"/>
    <n v="0"/>
    <n v="2020"/>
    <s v="UPI"/>
    <x v="0"/>
    <n v="200"/>
    <x v="0"/>
    <n v="3"/>
  </r>
  <r>
    <s v="ORD10313"/>
    <d v="2026-06-02T00:00:00"/>
    <x v="5"/>
    <s v="CUST1121"/>
    <s v="Ananya"/>
    <s v="Ananya"/>
    <x v="4"/>
    <x v="4"/>
    <x v="4"/>
    <x v="18"/>
    <n v="27"/>
    <m/>
    <m/>
    <x v="4"/>
    <n v="2"/>
    <n v="3100"/>
    <n v="0"/>
    <n v="6200"/>
    <s v="Card"/>
    <x v="1"/>
    <n v="135"/>
    <x v="0"/>
    <n v="4"/>
  </r>
  <r>
    <s v="ORD10314"/>
    <d v="2026-02-10T00:00:00"/>
    <x v="1"/>
    <s v="CUST1176"/>
    <s v="Nikhil"/>
    <s v="Nikhil"/>
    <x v="2"/>
    <x v="2"/>
    <x v="2"/>
    <x v="7"/>
    <n v="23"/>
    <m/>
    <m/>
    <x v="1"/>
    <n v="2"/>
    <n v="1270"/>
    <n v="15"/>
    <n v="2540"/>
    <s v="UPI"/>
    <x v="0"/>
    <n v="200"/>
    <x v="0"/>
    <n v="2"/>
  </r>
  <r>
    <s v="ORD10315"/>
    <d v="2026-02-03T00:00:00"/>
    <x v="1"/>
    <s v="CUST1138"/>
    <s v="Varun"/>
    <s v="Varun"/>
    <x v="3"/>
    <x v="3"/>
    <x v="3"/>
    <x v="5"/>
    <n v="31"/>
    <m/>
    <m/>
    <x v="4"/>
    <n v="1"/>
    <n v="3400"/>
    <n v="10"/>
    <n v="3400"/>
    <s v="UPI"/>
    <x v="0"/>
    <n v="200"/>
    <x v="1"/>
    <n v="0"/>
  </r>
  <r>
    <s v="ORD10316"/>
    <d v="2026-03-23T00:00:00"/>
    <x v="4"/>
    <s v="CUST1120"/>
    <s v="Aarav"/>
    <s v="Aarav"/>
    <x v="0"/>
    <x v="0"/>
    <x v="0"/>
    <x v="24"/>
    <n v="18"/>
    <m/>
    <m/>
    <x v="1"/>
    <n v="1"/>
    <n v="1780"/>
    <n v="5"/>
    <n v="1780"/>
    <s v="Card"/>
    <x v="1"/>
    <n v="135"/>
    <x v="0"/>
    <n v="1"/>
  </r>
  <r>
    <s v="ORD10317"/>
    <d v="2026-04-01T00:00:00"/>
    <x v="0"/>
    <s v="CUST1137"/>
    <s v="Riya"/>
    <s v="Riya"/>
    <x v="4"/>
    <x v="4"/>
    <x v="4"/>
    <x v="12"/>
    <n v="41"/>
    <m/>
    <m/>
    <x v="0"/>
    <n v="3"/>
    <n v="29888"/>
    <n v="10"/>
    <n v="89664"/>
    <s v="Card"/>
    <x v="1"/>
    <n v="135"/>
    <x v="0"/>
    <n v="5"/>
  </r>
  <r>
    <s v="ORD10318"/>
    <d v="2026-03-23T00:00:00"/>
    <x v="4"/>
    <s v="CUST1107"/>
    <s v="Kavya"/>
    <s v="Kavya"/>
    <x v="0"/>
    <x v="0"/>
    <x v="0"/>
    <x v="18"/>
    <n v="27"/>
    <m/>
    <m/>
    <x v="4"/>
    <n v="1"/>
    <n v="3000"/>
    <n v="15"/>
    <n v="3000"/>
    <s v="Card"/>
    <x v="1"/>
    <n v="135"/>
    <x v="0"/>
    <n v="4"/>
  </r>
  <r>
    <s v="ORD10319"/>
    <d v="2026-02-06T00:00:00"/>
    <x v="1"/>
    <s v="CUST1129"/>
    <s v="Pooja"/>
    <s v="Pooja"/>
    <x v="0"/>
    <x v="0"/>
    <x v="0"/>
    <x v="5"/>
    <n v="31"/>
    <m/>
    <m/>
    <x v="4"/>
    <n v="1"/>
    <n v="3000"/>
    <n v="5"/>
    <n v="3000"/>
    <s v="Card"/>
    <x v="1"/>
    <n v="135"/>
    <x v="0"/>
    <n v="6"/>
  </r>
  <r>
    <s v="ORD10320"/>
    <d v="2026-02-24T00:00:00"/>
    <x v="1"/>
    <s v="CUST1092"/>
    <s v="Vivek"/>
    <s v="Vivek"/>
    <x v="6"/>
    <x v="1"/>
    <x v="6"/>
    <x v="21"/>
    <n v="35"/>
    <m/>
    <m/>
    <x v="0"/>
    <n v="3"/>
    <n v="1200"/>
    <n v="0"/>
    <n v="3600"/>
    <s v="Card"/>
    <x v="1"/>
    <n v="135"/>
    <x v="0"/>
    <n v="3"/>
  </r>
  <r>
    <s v="ORD10321"/>
    <d v="2026-01-21T00:00:00"/>
    <x v="3"/>
    <s v="CUST1021"/>
    <s v="Ananya"/>
    <s v="Ananya"/>
    <x v="6"/>
    <x v="1"/>
    <x v="6"/>
    <x v="11"/>
    <n v="17"/>
    <m/>
    <m/>
    <x v="1"/>
    <n v="1"/>
    <n v="1168"/>
    <n v="5"/>
    <n v="1168"/>
    <s v="UPI"/>
    <x v="0"/>
    <n v="200"/>
    <x v="0"/>
    <n v="6"/>
  </r>
  <r>
    <s v="ORD10322"/>
    <d v="2026-03-02T00:00:00"/>
    <x v="4"/>
    <s v="CUST1177"/>
    <s v="Riya"/>
    <s v="Riya"/>
    <x v="2"/>
    <x v="2"/>
    <x v="2"/>
    <x v="7"/>
    <n v="23"/>
    <m/>
    <m/>
    <x v="1"/>
    <n v="1"/>
    <n v="862"/>
    <n v="20"/>
    <n v="862"/>
    <s v="Net Banking"/>
    <x v="3"/>
    <n v="36"/>
    <x v="0"/>
    <n v="4"/>
  </r>
  <r>
    <s v="ORD10323"/>
    <d v="2026-04-16T00:00:00"/>
    <x v="0"/>
    <s v="CUST1087"/>
    <s v="Kavya"/>
    <s v="Kavya"/>
    <x v="2"/>
    <x v="2"/>
    <x v="2"/>
    <x v="21"/>
    <n v="35"/>
    <m/>
    <m/>
    <x v="0"/>
    <n v="3"/>
    <n v="37060"/>
    <n v="0"/>
    <n v="111180"/>
    <s v="COD"/>
    <x v="2"/>
    <n v="129"/>
    <x v="0"/>
    <n v="5"/>
  </r>
  <r>
    <s v="ORD10324"/>
    <d v="2026-03-17T00:00:00"/>
    <x v="4"/>
    <s v="CUST1046"/>
    <s v="Aman"/>
    <s v="Aman"/>
    <x v="5"/>
    <x v="5"/>
    <x v="5"/>
    <x v="7"/>
    <n v="23"/>
    <m/>
    <m/>
    <x v="1"/>
    <n v="1"/>
    <n v="1780"/>
    <n v="0"/>
    <n v="1780"/>
    <s v="Card"/>
    <x v="1"/>
    <n v="135"/>
    <x v="0"/>
    <n v="3"/>
  </r>
  <r>
    <s v="ORD10325"/>
    <d v="2026-04-26T00:00:00"/>
    <x v="0"/>
    <s v="CUST1138"/>
    <s v="Varun"/>
    <s v="Varun"/>
    <x v="2"/>
    <x v="2"/>
    <x v="2"/>
    <x v="21"/>
    <n v="35"/>
    <m/>
    <m/>
    <x v="0"/>
    <n v="1"/>
    <n v="40646"/>
    <n v="15"/>
    <n v="40646"/>
    <s v="COD"/>
    <x v="2"/>
    <n v="129"/>
    <x v="0"/>
    <n v="3"/>
  </r>
  <r>
    <s v="ORD10326"/>
    <d v="2026-04-25T00:00:00"/>
    <x v="0"/>
    <s v="CUST1143"/>
    <s v="Priya"/>
    <s v="Priya"/>
    <x v="2"/>
    <x v="2"/>
    <x v="2"/>
    <x v="20"/>
    <n v="34"/>
    <m/>
    <m/>
    <x v="3"/>
    <n v="1"/>
    <n v="1030"/>
    <n v="0"/>
    <n v="1030"/>
    <s v="UPI"/>
    <x v="0"/>
    <n v="200"/>
    <x v="0"/>
    <n v="4"/>
  </r>
  <r>
    <s v="ORD10327"/>
    <d v="2026-05-06T00:00:00"/>
    <x v="2"/>
    <s v="CUST1178"/>
    <s v="Varun"/>
    <s v="Varun"/>
    <x v="1"/>
    <x v="1"/>
    <x v="1"/>
    <x v="19"/>
    <n v="28"/>
    <m/>
    <m/>
    <x v="3"/>
    <n v="1"/>
    <n v="884"/>
    <n v="5"/>
    <n v="884"/>
    <s v="Card"/>
    <x v="1"/>
    <n v="135"/>
    <x v="0"/>
    <n v="2"/>
  </r>
  <r>
    <s v="ORD10328"/>
    <d v="2026-04-08T00:00:00"/>
    <x v="0"/>
    <s v="CUST1039"/>
    <s v="Meera"/>
    <s v="Meera"/>
    <x v="4"/>
    <x v="4"/>
    <x v="4"/>
    <x v="3"/>
    <n v="29"/>
    <m/>
    <m/>
    <x v="2"/>
    <n v="3"/>
    <n v="900"/>
    <n v="10"/>
    <n v="2700"/>
    <s v="Card"/>
    <x v="1"/>
    <n v="135"/>
    <x v="1"/>
    <n v="0"/>
  </r>
  <r>
    <s v="ORD10329"/>
    <d v="2026-05-08T00:00:00"/>
    <x v="2"/>
    <s v="CUST1062"/>
    <s v="Rahul"/>
    <s v="Rahul"/>
    <x v="1"/>
    <x v="1"/>
    <x v="1"/>
    <x v="19"/>
    <n v="28"/>
    <m/>
    <m/>
    <x v="3"/>
    <n v="2"/>
    <n v="592"/>
    <n v="10"/>
    <n v="1184"/>
    <s v="COD"/>
    <x v="2"/>
    <n v="129"/>
    <x v="1"/>
    <n v="0"/>
  </r>
  <r>
    <s v="ORD10330"/>
    <d v="2026-01-17T00:00:00"/>
    <x v="3"/>
    <s v="CUST1054"/>
    <s v="Karan"/>
    <s v="Karan"/>
    <x v="5"/>
    <x v="5"/>
    <x v="5"/>
    <x v="6"/>
    <n v="33"/>
    <m/>
    <m/>
    <x v="3"/>
    <n v="3"/>
    <n v="1322"/>
    <n v="5"/>
    <n v="3966"/>
    <s v="COD"/>
    <x v="2"/>
    <n v="129"/>
    <x v="0"/>
    <n v="4"/>
  </r>
  <r>
    <s v="ORD10331"/>
    <d v="2026-06-05T00:00:00"/>
    <x v="5"/>
    <s v="CUST1147"/>
    <s v="Kavya"/>
    <s v="Kavya"/>
    <x v="6"/>
    <x v="1"/>
    <x v="6"/>
    <x v="14"/>
    <n v="26"/>
    <m/>
    <m/>
    <x v="1"/>
    <n v="2"/>
    <n v="1474"/>
    <n v="5"/>
    <n v="2948"/>
    <s v="UPI"/>
    <x v="0"/>
    <n v="200"/>
    <x v="0"/>
    <n v="4"/>
  </r>
  <r>
    <s v="ORD10332"/>
    <d v="2026-06-18T00:00:00"/>
    <x v="5"/>
    <s v="CUST1136"/>
    <s v="Nikhil"/>
    <s v="Nikhil"/>
    <x v="5"/>
    <x v="5"/>
    <x v="5"/>
    <x v="18"/>
    <n v="27"/>
    <m/>
    <m/>
    <x v="4"/>
    <n v="1"/>
    <n v="1800"/>
    <n v="15"/>
    <n v="1800"/>
    <s v="COD"/>
    <x v="2"/>
    <n v="129"/>
    <x v="0"/>
    <n v="9"/>
  </r>
  <r>
    <s v="ORD10333"/>
    <d v="2026-01-22T00:00:00"/>
    <x v="3"/>
    <s v="CUST1123"/>
    <s v="Priya"/>
    <s v="Priya"/>
    <x v="4"/>
    <x v="4"/>
    <x v="4"/>
    <x v="2"/>
    <n v="36"/>
    <m/>
    <m/>
    <x v="0"/>
    <n v="1"/>
    <n v="26302"/>
    <n v="10"/>
    <n v="26302"/>
    <s v="UPI"/>
    <x v="0"/>
    <n v="200"/>
    <x v="0"/>
    <n v="3"/>
  </r>
  <r>
    <s v="ORD10334"/>
    <d v="2026-03-08T00:00:00"/>
    <x v="4"/>
    <s v="CUST1107"/>
    <s v="Kavya"/>
    <s v="Kavya"/>
    <x v="2"/>
    <x v="2"/>
    <x v="2"/>
    <x v="5"/>
    <n v="31"/>
    <m/>
    <m/>
    <x v="4"/>
    <n v="1"/>
    <n v="2700"/>
    <n v="10"/>
    <n v="2700"/>
    <s v="COD"/>
    <x v="2"/>
    <n v="129"/>
    <x v="0"/>
    <n v="6"/>
  </r>
  <r>
    <s v="ORD10335"/>
    <d v="2026-04-06T00:00:00"/>
    <x v="0"/>
    <s v="CUST1173"/>
    <s v="Sneha"/>
    <s v="Sneha"/>
    <x v="3"/>
    <x v="3"/>
    <x v="3"/>
    <x v="21"/>
    <n v="35"/>
    <m/>
    <m/>
    <x v="0"/>
    <n v="1"/>
    <n v="15544"/>
    <n v="15"/>
    <n v="15544"/>
    <s v="COD"/>
    <x v="2"/>
    <n v="129"/>
    <x v="0"/>
    <n v="5"/>
  </r>
  <r>
    <s v="ORD10336"/>
    <d v="2026-03-03T00:00:00"/>
    <x v="4"/>
    <s v="CUST1009"/>
    <s v="Pooja"/>
    <s v="Pooja"/>
    <x v="0"/>
    <x v="0"/>
    <x v="0"/>
    <x v="4"/>
    <n v="29"/>
    <m/>
    <m/>
    <x v="3"/>
    <n v="2"/>
    <n v="446"/>
    <n v="10"/>
    <n v="892"/>
    <s v="COD"/>
    <x v="2"/>
    <n v="129"/>
    <x v="0"/>
    <n v="4"/>
  </r>
  <r>
    <s v="ORD10337"/>
    <d v="2026-05-07T00:00:00"/>
    <x v="2"/>
    <s v="CUST1170"/>
    <s v="Aditya"/>
    <s v="Aditya"/>
    <x v="5"/>
    <x v="5"/>
    <x v="5"/>
    <x v="7"/>
    <n v="23"/>
    <m/>
    <m/>
    <x v="1"/>
    <n v="2"/>
    <n v="1015"/>
    <n v="10"/>
    <n v="2030"/>
    <s v="Card"/>
    <x v="1"/>
    <n v="135"/>
    <x v="0"/>
    <n v="5"/>
  </r>
  <r>
    <s v="ORD10338"/>
    <d v="2026-03-17T00:00:00"/>
    <x v="4"/>
    <s v="CUST1044"/>
    <s v="Rohan"/>
    <s v="Rohan"/>
    <x v="4"/>
    <x v="4"/>
    <x v="4"/>
    <x v="24"/>
    <n v="18"/>
    <m/>
    <m/>
    <x v="1"/>
    <n v="1"/>
    <n v="1474"/>
    <n v="5"/>
    <n v="1474"/>
    <s v="Card"/>
    <x v="1"/>
    <n v="135"/>
    <x v="1"/>
    <n v="0"/>
  </r>
  <r>
    <s v="ORD10339"/>
    <d v="2026-05-19T00:00:00"/>
    <x v="2"/>
    <s v="CUST1128"/>
    <s v="Arjun"/>
    <s v="Arjun"/>
    <x v="3"/>
    <x v="3"/>
    <x v="3"/>
    <x v="12"/>
    <n v="41"/>
    <m/>
    <m/>
    <x v="0"/>
    <n v="1"/>
    <n v="31681"/>
    <n v="15"/>
    <n v="31681"/>
    <s v="Card"/>
    <x v="1"/>
    <n v="135"/>
    <x v="0"/>
    <n v="5"/>
  </r>
  <r>
    <s v="ORD10340"/>
    <d v="2026-03-03T00:00:00"/>
    <x v="4"/>
    <s v="CUST1135"/>
    <s v="Isha"/>
    <s v="Isha"/>
    <x v="6"/>
    <x v="1"/>
    <x v="6"/>
    <x v="5"/>
    <n v="31"/>
    <m/>
    <m/>
    <x v="4"/>
    <n v="1"/>
    <n v="3400"/>
    <n v="10"/>
    <n v="3400"/>
    <s v="COD"/>
    <x v="2"/>
    <n v="129"/>
    <x v="0"/>
    <n v="6"/>
  </r>
  <r>
    <s v="ORD10341"/>
    <d v="2026-01-22T00:00:00"/>
    <x v="3"/>
    <s v="CUST1161"/>
    <s v="Ananya"/>
    <s v="Ananya"/>
    <x v="3"/>
    <x v="3"/>
    <x v="3"/>
    <x v="11"/>
    <n v="17"/>
    <m/>
    <m/>
    <x v="1"/>
    <n v="4"/>
    <n v="1372"/>
    <n v="15"/>
    <n v="5488"/>
    <s v="COD"/>
    <x v="2"/>
    <n v="129"/>
    <x v="0"/>
    <n v="1"/>
  </r>
  <r>
    <s v="ORD10342"/>
    <d v="2026-01-28T00:00:00"/>
    <x v="3"/>
    <s v="CUST1110"/>
    <s v="Aditya"/>
    <s v="Aditya"/>
    <x v="3"/>
    <x v="3"/>
    <x v="3"/>
    <x v="18"/>
    <n v="27"/>
    <m/>
    <m/>
    <x v="4"/>
    <n v="3"/>
    <n v="2500"/>
    <n v="15"/>
    <n v="7500"/>
    <s v="Card"/>
    <x v="1"/>
    <n v="135"/>
    <x v="0"/>
    <n v="4"/>
  </r>
  <r>
    <s v="ORD10343"/>
    <d v="2026-06-06T00:00:00"/>
    <x v="5"/>
    <s v="CUST1027"/>
    <s v="Kavya"/>
    <s v="Kavya"/>
    <x v="4"/>
    <x v="4"/>
    <x v="4"/>
    <x v="9"/>
    <n v="33"/>
    <m/>
    <m/>
    <x v="3"/>
    <n v="2"/>
    <n v="373"/>
    <n v="15"/>
    <n v="746"/>
    <s v="COD"/>
    <x v="2"/>
    <n v="129"/>
    <x v="2"/>
    <n v="5"/>
  </r>
  <r>
    <s v="ORD10344"/>
    <d v="2026-01-20T00:00:00"/>
    <x v="3"/>
    <s v="CUST1149"/>
    <s v="Pooja"/>
    <s v="Pooja"/>
    <x v="5"/>
    <x v="5"/>
    <x v="5"/>
    <x v="10"/>
    <n v="30"/>
    <m/>
    <m/>
    <x v="2"/>
    <n v="1"/>
    <n v="600"/>
    <n v="10"/>
    <n v="600"/>
    <s v="Card"/>
    <x v="1"/>
    <n v="135"/>
    <x v="0"/>
    <n v="2"/>
  </r>
  <r>
    <s v="ORD10345"/>
    <d v="2026-06-07T00:00:00"/>
    <x v="5"/>
    <s v="CUST1160"/>
    <s v="Aarav"/>
    <s v="Aarav"/>
    <x v="2"/>
    <x v="2"/>
    <x v="2"/>
    <x v="6"/>
    <n v="33"/>
    <m/>
    <m/>
    <x v="3"/>
    <n v="1"/>
    <n v="1833"/>
    <n v="15"/>
    <n v="1833"/>
    <s v="Card"/>
    <x v="1"/>
    <n v="135"/>
    <x v="0"/>
    <n v="3"/>
  </r>
  <r>
    <s v="ORD10346"/>
    <d v="2026-04-09T00:00:00"/>
    <x v="0"/>
    <s v="CUST1153"/>
    <s v="Sneha"/>
    <s v="Sneha"/>
    <x v="1"/>
    <x v="1"/>
    <x v="1"/>
    <x v="18"/>
    <n v="27"/>
    <m/>
    <m/>
    <x v="4"/>
    <n v="1"/>
    <n v="1400"/>
    <n v="0"/>
    <n v="1400"/>
    <s v="Card"/>
    <x v="1"/>
    <n v="135"/>
    <x v="0"/>
    <n v="3"/>
  </r>
  <r>
    <s v="ORD10347"/>
    <d v="2026-01-20T00:00:00"/>
    <x v="3"/>
    <s v="CUST1149"/>
    <s v="Pooja"/>
    <s v="Pooja"/>
    <x v="7"/>
    <x v="6"/>
    <x v="7"/>
    <x v="10"/>
    <n v="30"/>
    <m/>
    <m/>
    <x v="2"/>
    <n v="1"/>
    <n v="800"/>
    <n v="10"/>
    <n v="800"/>
    <s v="Card"/>
    <x v="1"/>
    <n v="135"/>
    <x v="0"/>
    <n v="2"/>
  </r>
  <r>
    <s v="ORD10348"/>
    <d v="2026-01-12T00:00:00"/>
    <x v="3"/>
    <s v="CUST1120"/>
    <s v="Aarav"/>
    <s v="Aarav"/>
    <x v="4"/>
    <x v="4"/>
    <x v="4"/>
    <x v="3"/>
    <n v="29"/>
    <m/>
    <m/>
    <x v="2"/>
    <n v="3"/>
    <n v="1100"/>
    <n v="10"/>
    <n v="3300"/>
    <s v="Net Banking"/>
    <x v="3"/>
    <n v="36"/>
    <x v="0"/>
    <n v="3"/>
  </r>
  <r>
    <s v="ORD10349"/>
    <d v="2026-03-16T00:00:00"/>
    <x v="4"/>
    <s v="CUST1064"/>
    <s v="Rohan"/>
    <s v="Rohan"/>
    <x v="3"/>
    <x v="3"/>
    <x v="3"/>
    <x v="4"/>
    <n v="29"/>
    <m/>
    <m/>
    <x v="3"/>
    <n v="2"/>
    <n v="2198"/>
    <n v="10"/>
    <n v="4396"/>
    <s v="UPI"/>
    <x v="0"/>
    <n v="200"/>
    <x v="0"/>
    <n v="3"/>
  </r>
  <r>
    <s v="ORD10350"/>
    <d v="2026-03-12T00:00:00"/>
    <x v="4"/>
    <s v="CUST1012"/>
    <s v="Vivek"/>
    <s v="Vivek"/>
    <x v="7"/>
    <x v="6"/>
    <x v="7"/>
    <x v="2"/>
    <n v="36"/>
    <m/>
    <m/>
    <x v="0"/>
    <n v="1"/>
    <n v="38853"/>
    <n v="10"/>
    <n v="38853"/>
    <s v="COD"/>
    <x v="2"/>
    <n v="129"/>
    <x v="0"/>
    <n v="6"/>
  </r>
  <r>
    <s v="ORD10351"/>
    <d v="2026-02-09T00:00:00"/>
    <x v="1"/>
    <s v="CUST1066"/>
    <s v="Aman"/>
    <s v="Aman"/>
    <x v="0"/>
    <x v="0"/>
    <x v="0"/>
    <x v="10"/>
    <n v="30"/>
    <m/>
    <m/>
    <x v="2"/>
    <n v="3"/>
    <n v="1300"/>
    <n v="20"/>
    <n v="3900"/>
    <s v="Card"/>
    <x v="1"/>
    <n v="135"/>
    <x v="0"/>
    <n v="3"/>
  </r>
  <r>
    <s v="ORD10352"/>
    <d v="2026-02-05T00:00:00"/>
    <x v="1"/>
    <s v="CUST1144"/>
    <s v="Rohan"/>
    <s v="Rohan"/>
    <x v="3"/>
    <x v="3"/>
    <x v="3"/>
    <x v="11"/>
    <n v="17"/>
    <m/>
    <m/>
    <x v="1"/>
    <n v="1"/>
    <n v="607"/>
    <n v="15"/>
    <n v="607"/>
    <s v="UPI"/>
    <x v="0"/>
    <n v="200"/>
    <x v="0"/>
    <n v="3"/>
  </r>
  <r>
    <s v="ORD10353"/>
    <d v="2026-06-23T00:00:00"/>
    <x v="5"/>
    <s v="CUST1073"/>
    <s v="Sneha"/>
    <s v="Sneha"/>
    <x v="7"/>
    <x v="6"/>
    <x v="7"/>
    <x v="0"/>
    <n v="55"/>
    <m/>
    <m/>
    <x v="0"/>
    <n v="3"/>
    <n v="47818"/>
    <n v="0"/>
    <n v="143454"/>
    <s v="COD"/>
    <x v="2"/>
    <n v="129"/>
    <x v="0"/>
    <n v="4"/>
  </r>
  <r>
    <s v="ORD10354"/>
    <d v="2026-06-12T00:00:00"/>
    <x v="5"/>
    <s v="CUST1053"/>
    <s v="Sneha"/>
    <s v="Sneha"/>
    <x v="3"/>
    <x v="3"/>
    <x v="3"/>
    <x v="21"/>
    <n v="35"/>
    <m/>
    <m/>
    <x v="0"/>
    <n v="1"/>
    <n v="26302"/>
    <n v="10"/>
    <n v="26302"/>
    <s v="Net Banking"/>
    <x v="3"/>
    <n v="36"/>
    <x v="0"/>
    <n v="3"/>
  </r>
  <r>
    <s v="ORD10355"/>
    <d v="2026-04-29T00:00:00"/>
    <x v="0"/>
    <s v="CUST1058"/>
    <s v="Varun"/>
    <s v="Varun"/>
    <x v="2"/>
    <x v="2"/>
    <x v="2"/>
    <x v="9"/>
    <n v="33"/>
    <m/>
    <m/>
    <x v="3"/>
    <n v="1"/>
    <n v="2417"/>
    <n v="10"/>
    <n v="2417"/>
    <s v="COD"/>
    <x v="2"/>
    <n v="129"/>
    <x v="0"/>
    <n v="2"/>
  </r>
  <r>
    <s v="ORD10356"/>
    <d v="2026-02-03T00:00:00"/>
    <x v="1"/>
    <s v="CUST1136"/>
    <s v="Nikhil"/>
    <s v="Nikhil"/>
    <x v="4"/>
    <x v="4"/>
    <x v="4"/>
    <x v="12"/>
    <n v="41"/>
    <m/>
    <m/>
    <x v="0"/>
    <n v="1"/>
    <n v="35267"/>
    <n v="10"/>
    <n v="35267"/>
    <s v="Net Banking"/>
    <x v="3"/>
    <n v="36"/>
    <x v="0"/>
    <n v="3"/>
  </r>
  <r>
    <s v="ORD10357"/>
    <d v="2026-04-03T00:00:00"/>
    <x v="0"/>
    <s v="CUST1004"/>
    <s v="Rohan"/>
    <s v="Rohan"/>
    <x v="2"/>
    <x v="2"/>
    <x v="2"/>
    <x v="2"/>
    <n v="36"/>
    <m/>
    <m/>
    <x v="0"/>
    <n v="1"/>
    <n v="29888"/>
    <n v="5"/>
    <n v="29888"/>
    <s v="Net Banking"/>
    <x v="3"/>
    <n v="36"/>
    <x v="0"/>
    <n v="3"/>
  </r>
  <r>
    <s v="ORD10358"/>
    <d v="2026-03-23T00:00:00"/>
    <x v="4"/>
    <s v="CUST1152"/>
    <s v="Vivek"/>
    <s v="Vivek"/>
    <x v="2"/>
    <x v="2"/>
    <x v="2"/>
    <x v="3"/>
    <n v="29"/>
    <m/>
    <m/>
    <x v="2"/>
    <n v="2"/>
    <n v="1250"/>
    <n v="10"/>
    <n v="2500"/>
    <s v="UPI"/>
    <x v="0"/>
    <n v="200"/>
    <x v="0"/>
    <n v="1"/>
  </r>
  <r>
    <s v="ORD10359"/>
    <d v="2026-04-09T00:00:00"/>
    <x v="0"/>
    <s v="CUST1009"/>
    <s v="Pooja"/>
    <s v="Pooja"/>
    <x v="3"/>
    <x v="3"/>
    <x v="3"/>
    <x v="21"/>
    <n v="35"/>
    <m/>
    <m/>
    <x v="0"/>
    <n v="1"/>
    <n v="1200"/>
    <n v="5"/>
    <n v="1200"/>
    <s v="COD"/>
    <x v="2"/>
    <n v="129"/>
    <x v="0"/>
    <n v="5"/>
  </r>
  <r>
    <s v="ORD10360"/>
    <d v="2026-01-22T00:00:00"/>
    <x v="3"/>
    <s v="CUST1082"/>
    <s v="Rahul"/>
    <s v="Rahul"/>
    <x v="6"/>
    <x v="1"/>
    <x v="6"/>
    <x v="6"/>
    <n v="33"/>
    <m/>
    <m/>
    <x v="3"/>
    <n v="2"/>
    <n v="1103"/>
    <n v="20"/>
    <n v="2206"/>
    <s v="UPI"/>
    <x v="0"/>
    <n v="200"/>
    <x v="0"/>
    <n v="3"/>
  </r>
  <r>
    <s v="ORD10361"/>
    <d v="2026-03-18T00:00:00"/>
    <x v="4"/>
    <s v="CUST1039"/>
    <s v="Meera"/>
    <s v="Meera"/>
    <x v="6"/>
    <x v="1"/>
    <x v="6"/>
    <x v="22"/>
    <n v="54"/>
    <m/>
    <m/>
    <x v="4"/>
    <n v="2"/>
    <n v="1000"/>
    <n v="5"/>
    <n v="2000"/>
    <s v="COD"/>
    <x v="2"/>
    <n v="129"/>
    <x v="0"/>
    <n v="6"/>
  </r>
  <r>
    <s v="ORD10362"/>
    <d v="2026-03-30T00:00:00"/>
    <x v="4"/>
    <s v="CUST1039"/>
    <s v="Meera"/>
    <s v="Meera"/>
    <x v="4"/>
    <x v="4"/>
    <x v="4"/>
    <x v="13"/>
    <n v="28"/>
    <m/>
    <m/>
    <x v="2"/>
    <n v="2"/>
    <n v="950"/>
    <n v="10"/>
    <n v="1900"/>
    <s v="COD"/>
    <x v="2"/>
    <n v="129"/>
    <x v="0"/>
    <n v="1"/>
  </r>
  <r>
    <s v="ORD10363"/>
    <d v="2026-03-13T00:00:00"/>
    <x v="4"/>
    <s v="CUST1150"/>
    <s v="Aditya"/>
    <s v="Aditya"/>
    <x v="2"/>
    <x v="2"/>
    <x v="2"/>
    <x v="20"/>
    <n v="34"/>
    <m/>
    <m/>
    <x v="3"/>
    <n v="1"/>
    <n v="1760"/>
    <n v="5"/>
    <n v="1760"/>
    <s v="UPI"/>
    <x v="0"/>
    <n v="200"/>
    <x v="0"/>
    <n v="5"/>
  </r>
  <r>
    <s v="ORD10364"/>
    <d v="2026-04-06T00:00:00"/>
    <x v="0"/>
    <s v="CUST1069"/>
    <s v="Pooja"/>
    <s v="Pooja"/>
    <x v="5"/>
    <x v="5"/>
    <x v="5"/>
    <x v="8"/>
    <n v="14"/>
    <m/>
    <m/>
    <x v="2"/>
    <n v="1"/>
    <n v="400"/>
    <n v="15"/>
    <n v="400"/>
    <s v="UPI"/>
    <x v="0"/>
    <n v="200"/>
    <x v="0"/>
    <n v="3"/>
  </r>
  <r>
    <s v="ORD10365"/>
    <d v="2026-02-21T00:00:00"/>
    <x v="1"/>
    <s v="CUST1170"/>
    <s v="Aditya"/>
    <s v="Aditya"/>
    <x v="6"/>
    <x v="1"/>
    <x v="6"/>
    <x v="0"/>
    <n v="55"/>
    <m/>
    <m/>
    <x v="0"/>
    <n v="1"/>
    <n v="46025"/>
    <n v="10"/>
    <n v="46025"/>
    <s v="COD"/>
    <x v="2"/>
    <n v="129"/>
    <x v="0"/>
    <n v="4"/>
  </r>
  <r>
    <s v="ORD10366"/>
    <d v="2026-04-24T00:00:00"/>
    <x v="0"/>
    <s v="CUST1059"/>
    <s v="Meera"/>
    <s v="Meera"/>
    <x v="3"/>
    <x v="3"/>
    <x v="3"/>
    <x v="17"/>
    <n v="41"/>
    <m/>
    <m/>
    <x v="4"/>
    <n v="1"/>
    <n v="2600"/>
    <n v="10"/>
    <n v="2600"/>
    <s v="UPI"/>
    <x v="0"/>
    <n v="200"/>
    <x v="0"/>
    <n v="5"/>
  </r>
  <r>
    <s v="ORD10367"/>
    <d v="2026-04-21T00:00:00"/>
    <x v="0"/>
    <s v="CUST1145"/>
    <s v="Neha"/>
    <s v="Neha"/>
    <x v="5"/>
    <x v="5"/>
    <x v="5"/>
    <x v="17"/>
    <n v="41"/>
    <m/>
    <m/>
    <x v="4"/>
    <n v="2"/>
    <n v="3200"/>
    <n v="0"/>
    <n v="6400"/>
    <s v="Card"/>
    <x v="1"/>
    <n v="135"/>
    <x v="0"/>
    <n v="5"/>
  </r>
  <r>
    <s v="ORD10368"/>
    <d v="2026-01-30T00:00:00"/>
    <x v="3"/>
    <s v="CUST1116"/>
    <s v="Nikhil"/>
    <s v="Nikhil"/>
    <x v="1"/>
    <x v="1"/>
    <x v="1"/>
    <x v="14"/>
    <n v="26"/>
    <m/>
    <m/>
    <x v="1"/>
    <n v="2"/>
    <n v="913"/>
    <n v="0"/>
    <n v="1826"/>
    <s v="UPI"/>
    <x v="0"/>
    <n v="200"/>
    <x v="0"/>
    <n v="3"/>
  </r>
  <r>
    <s v="ORD10369"/>
    <d v="2026-05-23T00:00:00"/>
    <x v="2"/>
    <s v="CUST1111"/>
    <s v="Simran"/>
    <s v="Simran"/>
    <x v="5"/>
    <x v="5"/>
    <x v="5"/>
    <x v="19"/>
    <n v="28"/>
    <m/>
    <m/>
    <x v="3"/>
    <n v="1"/>
    <n v="1906"/>
    <n v="5"/>
    <n v="1906"/>
    <s v="COD"/>
    <x v="2"/>
    <n v="129"/>
    <x v="1"/>
    <n v="0"/>
  </r>
  <r>
    <s v="ORD10370"/>
    <d v="2026-01-01T00:00:00"/>
    <x v="3"/>
    <s v="CUST1155"/>
    <s v="Isha"/>
    <s v="Isha"/>
    <x v="0"/>
    <x v="0"/>
    <x v="0"/>
    <x v="7"/>
    <n v="23"/>
    <m/>
    <m/>
    <x v="1"/>
    <n v="1"/>
    <n v="964"/>
    <n v="15"/>
    <n v="964"/>
    <s v="COD"/>
    <x v="2"/>
    <n v="129"/>
    <x v="0"/>
    <n v="1"/>
  </r>
  <r>
    <s v="ORD10371"/>
    <d v="2026-01-12T00:00:00"/>
    <x v="3"/>
    <s v="CUST1056"/>
    <s v="Nikhil"/>
    <s v="Nikhil"/>
    <x v="2"/>
    <x v="2"/>
    <x v="2"/>
    <x v="24"/>
    <n v="18"/>
    <m/>
    <m/>
    <x v="1"/>
    <n v="1"/>
    <n v="760"/>
    <n v="10"/>
    <n v="760"/>
    <s v="UPI"/>
    <x v="0"/>
    <n v="200"/>
    <x v="0"/>
    <n v="3"/>
  </r>
  <r>
    <s v="ORD10372"/>
    <d v="2026-05-14T00:00:00"/>
    <x v="2"/>
    <s v="CUST1049"/>
    <s v="Pooja"/>
    <s v="Pooja"/>
    <x v="2"/>
    <x v="2"/>
    <x v="2"/>
    <x v="18"/>
    <n v="27"/>
    <m/>
    <m/>
    <x v="4"/>
    <n v="1"/>
    <n v="2300"/>
    <n v="15"/>
    <n v="2300"/>
    <s v="UPI"/>
    <x v="0"/>
    <n v="200"/>
    <x v="0"/>
    <n v="5"/>
  </r>
  <r>
    <s v="ORD10373"/>
    <d v="2026-05-29T00:00:00"/>
    <x v="2"/>
    <s v="CUST1177"/>
    <s v="Riya"/>
    <s v="Riya"/>
    <x v="1"/>
    <x v="1"/>
    <x v="1"/>
    <x v="6"/>
    <n v="33"/>
    <m/>
    <m/>
    <x v="3"/>
    <n v="1"/>
    <n v="738"/>
    <n v="10"/>
    <n v="738"/>
    <s v="Card"/>
    <x v="1"/>
    <n v="135"/>
    <x v="0"/>
    <n v="4"/>
  </r>
  <r>
    <s v="ORD10374"/>
    <d v="2026-02-12T00:00:00"/>
    <x v="1"/>
    <s v="CUST1099"/>
    <s v="Meera"/>
    <s v="Meera"/>
    <x v="2"/>
    <x v="2"/>
    <x v="2"/>
    <x v="16"/>
    <n v="44"/>
    <m/>
    <m/>
    <x v="4"/>
    <n v="2"/>
    <n v="2100"/>
    <n v="10"/>
    <n v="4200"/>
    <s v="Net Banking"/>
    <x v="3"/>
    <n v="36"/>
    <x v="0"/>
    <n v="5"/>
  </r>
  <r>
    <s v="ORD10375"/>
    <d v="2026-04-14T00:00:00"/>
    <x v="0"/>
    <s v="CUST1114"/>
    <s v="Karan"/>
    <s v="Karan"/>
    <x v="2"/>
    <x v="2"/>
    <x v="2"/>
    <x v="1"/>
    <n v="20"/>
    <m/>
    <m/>
    <x v="1"/>
    <n v="4"/>
    <n v="1117"/>
    <n v="10"/>
    <n v="4468"/>
    <s v="Net Banking"/>
    <x v="3"/>
    <n v="36"/>
    <x v="1"/>
    <n v="0"/>
  </r>
  <r>
    <s v="ORD10376"/>
    <d v="2026-05-12T00:00:00"/>
    <x v="2"/>
    <s v="CUST1073"/>
    <s v="Sneha"/>
    <s v="Sneha"/>
    <x v="3"/>
    <x v="3"/>
    <x v="3"/>
    <x v="2"/>
    <n v="36"/>
    <m/>
    <m/>
    <x v="0"/>
    <n v="1"/>
    <n v="54990"/>
    <n v="25"/>
    <n v="54990"/>
    <s v="Card"/>
    <x v="1"/>
    <n v="135"/>
    <x v="0"/>
    <n v="3"/>
  </r>
  <r>
    <s v="ORD10377"/>
    <d v="2026-01-26T00:00:00"/>
    <x v="3"/>
    <s v="CUST1163"/>
    <s v="Priya"/>
    <s v="Priya"/>
    <x v="7"/>
    <x v="6"/>
    <x v="7"/>
    <x v="5"/>
    <n v="31"/>
    <m/>
    <m/>
    <x v="4"/>
    <n v="1"/>
    <n v="700"/>
    <n v="0"/>
    <n v="700"/>
    <s v="Net Banking"/>
    <x v="3"/>
    <n v="36"/>
    <x v="0"/>
    <n v="2"/>
  </r>
  <r>
    <s v="ORD10378"/>
    <d v="2026-04-15T00:00:00"/>
    <x v="0"/>
    <s v="CUST1089"/>
    <s v="Pooja"/>
    <s v="Pooja"/>
    <x v="6"/>
    <x v="1"/>
    <x v="6"/>
    <x v="16"/>
    <n v="44"/>
    <m/>
    <m/>
    <x v="4"/>
    <n v="3"/>
    <n v="2700"/>
    <n v="20"/>
    <n v="8100"/>
    <s v="COD"/>
    <x v="2"/>
    <n v="129"/>
    <x v="0"/>
    <n v="3"/>
  </r>
  <r>
    <s v="ORD10379"/>
    <d v="2026-03-07T00:00:00"/>
    <x v="4"/>
    <s v="CUST1038"/>
    <s v="Varun"/>
    <s v="Varun"/>
    <x v="3"/>
    <x v="3"/>
    <x v="3"/>
    <x v="17"/>
    <n v="41"/>
    <m/>
    <m/>
    <x v="4"/>
    <n v="2"/>
    <n v="2400"/>
    <n v="0"/>
    <n v="4800"/>
    <s v="COD"/>
    <x v="2"/>
    <n v="129"/>
    <x v="0"/>
    <n v="6"/>
  </r>
  <r>
    <s v="ORD10380"/>
    <d v="2026-05-23T00:00:00"/>
    <x v="2"/>
    <s v="CUST1104"/>
    <s v="Rohan"/>
    <s v="Rohan"/>
    <x v="1"/>
    <x v="1"/>
    <x v="1"/>
    <x v="21"/>
    <n v="35"/>
    <m/>
    <m/>
    <x v="0"/>
    <n v="1"/>
    <n v="37060"/>
    <n v="5"/>
    <n v="37060"/>
    <s v="UPI"/>
    <x v="0"/>
    <n v="200"/>
    <x v="0"/>
    <n v="2"/>
  </r>
  <r>
    <s v="ORD10381"/>
    <d v="2026-05-31T00:00:00"/>
    <x v="2"/>
    <s v="CUST1122"/>
    <s v="Rahul"/>
    <s v="Rahul"/>
    <x v="6"/>
    <x v="1"/>
    <x v="6"/>
    <x v="16"/>
    <n v="44"/>
    <m/>
    <m/>
    <x v="4"/>
    <n v="3"/>
    <n v="2900"/>
    <n v="0"/>
    <n v="8700"/>
    <s v="UPI"/>
    <x v="0"/>
    <n v="200"/>
    <x v="0"/>
    <n v="5"/>
  </r>
  <r>
    <s v="ORD10382"/>
    <d v="2026-06-30T00:00:00"/>
    <x v="5"/>
    <s v="CUST1108"/>
    <s v="Arjun"/>
    <s v="Arjun"/>
    <x v="4"/>
    <x v="4"/>
    <x v="4"/>
    <x v="0"/>
    <n v="55"/>
    <m/>
    <m/>
    <x v="0"/>
    <n v="1"/>
    <n v="10165"/>
    <n v="0"/>
    <n v="10165"/>
    <s v="Card"/>
    <x v="1"/>
    <n v="135"/>
    <x v="0"/>
    <n v="4"/>
  </r>
  <r>
    <s v="ORD10383"/>
    <d v="2026-03-17T00:00:00"/>
    <x v="4"/>
    <s v="CUST1162"/>
    <s v="Rahul"/>
    <s v="Rahul"/>
    <x v="5"/>
    <x v="5"/>
    <x v="5"/>
    <x v="14"/>
    <n v="26"/>
    <m/>
    <m/>
    <x v="1"/>
    <n v="2"/>
    <n v="1678"/>
    <n v="25"/>
    <n v="3356"/>
    <s v="UPI"/>
    <x v="0"/>
    <n v="200"/>
    <x v="2"/>
    <n v="2"/>
  </r>
  <r>
    <s v="ORD10384"/>
    <d v="2026-01-31T00:00:00"/>
    <x v="3"/>
    <s v="CUST1079"/>
    <s v="Meera"/>
    <s v="Meera"/>
    <x v="3"/>
    <x v="3"/>
    <x v="3"/>
    <x v="19"/>
    <n v="28"/>
    <m/>
    <m/>
    <x v="3"/>
    <n v="1"/>
    <n v="1322"/>
    <n v="0"/>
    <n v="1322"/>
    <s v="Card"/>
    <x v="1"/>
    <n v="135"/>
    <x v="1"/>
    <n v="0"/>
  </r>
  <r>
    <s v="ORD10385"/>
    <d v="2026-01-22T00:00:00"/>
    <x v="3"/>
    <s v="CUST1014"/>
    <s v="Karan"/>
    <s v="Karan"/>
    <x v="4"/>
    <x v="4"/>
    <x v="4"/>
    <x v="17"/>
    <n v="41"/>
    <m/>
    <m/>
    <x v="4"/>
    <n v="1"/>
    <n v="2100"/>
    <n v="0"/>
    <n v="2100"/>
    <s v="COD"/>
    <x v="2"/>
    <n v="129"/>
    <x v="0"/>
    <n v="5"/>
  </r>
  <r>
    <s v="ORD10386"/>
    <d v="2026-03-13T00:00:00"/>
    <x v="4"/>
    <s v="CUST1058"/>
    <s v="Varun"/>
    <s v="Varun"/>
    <x v="0"/>
    <x v="0"/>
    <x v="0"/>
    <x v="24"/>
    <n v="18"/>
    <m/>
    <m/>
    <x v="1"/>
    <n v="1"/>
    <n v="862"/>
    <n v="5"/>
    <n v="862"/>
    <s v="Net Banking"/>
    <x v="3"/>
    <n v="36"/>
    <x v="0"/>
    <n v="4"/>
  </r>
  <r>
    <s v="ORD10387"/>
    <d v="2026-02-18T00:00:00"/>
    <x v="1"/>
    <s v="CUST1013"/>
    <s v="Sneha"/>
    <s v="Sneha"/>
    <x v="4"/>
    <x v="4"/>
    <x v="4"/>
    <x v="19"/>
    <n v="28"/>
    <m/>
    <m/>
    <x v="3"/>
    <n v="1"/>
    <n v="2125"/>
    <n v="0"/>
    <n v="2125"/>
    <s v="Card"/>
    <x v="1"/>
    <n v="135"/>
    <x v="2"/>
    <n v="6"/>
  </r>
  <r>
    <s v="ORD10388"/>
    <d v="2026-05-15T00:00:00"/>
    <x v="2"/>
    <s v="CUST1100"/>
    <s v="Aarav"/>
    <s v="Aarav"/>
    <x v="4"/>
    <x v="4"/>
    <x v="4"/>
    <x v="23"/>
    <n v="14"/>
    <m/>
    <m/>
    <x v="0"/>
    <n v="3"/>
    <n v="54990"/>
    <n v="10"/>
    <n v="164970"/>
    <s v="UPI"/>
    <x v="0"/>
    <n v="200"/>
    <x v="0"/>
    <n v="4"/>
  </r>
  <r>
    <s v="ORD10389"/>
    <d v="2026-06-12T00:00:00"/>
    <x v="5"/>
    <s v="CUST1142"/>
    <s v="Rahul"/>
    <s v="Rahul"/>
    <x v="4"/>
    <x v="4"/>
    <x v="4"/>
    <x v="14"/>
    <n v="26"/>
    <m/>
    <m/>
    <x v="1"/>
    <n v="1"/>
    <n v="1678"/>
    <n v="5"/>
    <n v="1678"/>
    <s v="UPI"/>
    <x v="0"/>
    <n v="200"/>
    <x v="0"/>
    <n v="5"/>
  </r>
  <r>
    <s v="ORD10390"/>
    <d v="2026-06-14T00:00:00"/>
    <x v="5"/>
    <s v="CUST1028"/>
    <s v="Arjun"/>
    <s v="Arjun"/>
    <x v="3"/>
    <x v="3"/>
    <x v="3"/>
    <x v="22"/>
    <n v="54"/>
    <m/>
    <m/>
    <x v="4"/>
    <n v="1"/>
    <n v="1200"/>
    <n v="15"/>
    <n v="1200"/>
    <s v="UPI"/>
    <x v="0"/>
    <n v="200"/>
    <x v="0"/>
    <n v="3"/>
  </r>
  <r>
    <s v="ORD10391"/>
    <d v="2026-04-06T00:00:00"/>
    <x v="0"/>
    <s v="CUST1115"/>
    <s v="Isha"/>
    <s v="Isha"/>
    <x v="5"/>
    <x v="5"/>
    <x v="5"/>
    <x v="6"/>
    <n v="33"/>
    <m/>
    <m/>
    <x v="3"/>
    <n v="3"/>
    <n v="2490"/>
    <n v="5"/>
    <n v="7470"/>
    <s v="COD"/>
    <x v="2"/>
    <n v="129"/>
    <x v="1"/>
    <n v="0"/>
  </r>
  <r>
    <s v="ORD10392"/>
    <d v="2026-04-13T00:00:00"/>
    <x v="0"/>
    <s v="CUST1173"/>
    <s v="Sneha"/>
    <s v="Sneha"/>
    <x v="7"/>
    <x v="6"/>
    <x v="7"/>
    <x v="6"/>
    <n v="33"/>
    <m/>
    <m/>
    <x v="3"/>
    <n v="2"/>
    <n v="2417"/>
    <n v="10"/>
    <n v="4834"/>
    <s v="Card"/>
    <x v="1"/>
    <n v="135"/>
    <x v="0"/>
    <n v="5"/>
  </r>
  <r>
    <s v="ORD10393"/>
    <d v="2026-05-31T00:00:00"/>
    <x v="2"/>
    <s v="CUST1146"/>
    <s v="Aman"/>
    <s v="Aman"/>
    <x v="0"/>
    <x v="0"/>
    <x v="0"/>
    <x v="9"/>
    <n v="33"/>
    <m/>
    <m/>
    <x v="3"/>
    <n v="1"/>
    <n v="2344"/>
    <n v="5"/>
    <n v="2344"/>
    <s v="COD"/>
    <x v="2"/>
    <n v="129"/>
    <x v="0"/>
    <n v="4"/>
  </r>
  <r>
    <s v="ORD10394"/>
    <d v="2026-01-15T00:00:00"/>
    <x v="3"/>
    <s v="CUST1041"/>
    <s v="Ananya"/>
    <s v="Ananya"/>
    <x v="4"/>
    <x v="4"/>
    <x v="4"/>
    <x v="19"/>
    <n v="28"/>
    <m/>
    <m/>
    <x v="3"/>
    <n v="1"/>
    <n v="957"/>
    <n v="5"/>
    <n v="957"/>
    <s v="UPI"/>
    <x v="0"/>
    <n v="200"/>
    <x v="0"/>
    <n v="3"/>
  </r>
  <r>
    <s v="ORD10395"/>
    <d v="2026-05-13T00:00:00"/>
    <x v="2"/>
    <s v="CUST1003"/>
    <s v="Priya"/>
    <s v="Priya"/>
    <x v="5"/>
    <x v="5"/>
    <x v="5"/>
    <x v="24"/>
    <n v="18"/>
    <m/>
    <m/>
    <x v="1"/>
    <n v="1"/>
    <n v="1321"/>
    <n v="5"/>
    <n v="1321"/>
    <s v="Card"/>
    <x v="1"/>
    <n v="135"/>
    <x v="0"/>
    <n v="3"/>
  </r>
  <r>
    <s v="ORD10396"/>
    <d v="2026-05-17T00:00:00"/>
    <x v="2"/>
    <s v="CUST1030"/>
    <s v="Aditya"/>
    <s v="Aditya"/>
    <x v="7"/>
    <x v="6"/>
    <x v="7"/>
    <x v="4"/>
    <n v="29"/>
    <m/>
    <m/>
    <x v="3"/>
    <n v="1"/>
    <n v="1541"/>
    <n v="20"/>
    <n v="1541"/>
    <s v="UPI"/>
    <x v="0"/>
    <n v="200"/>
    <x v="0"/>
    <n v="3"/>
  </r>
  <r>
    <s v="ORD10397"/>
    <d v="2026-01-25T00:00:00"/>
    <x v="3"/>
    <s v="CUST1169"/>
    <s v="Pooja"/>
    <s v="Pooja"/>
    <x v="3"/>
    <x v="3"/>
    <x v="3"/>
    <x v="21"/>
    <n v="35"/>
    <m/>
    <m/>
    <x v="0"/>
    <n v="3"/>
    <n v="17337"/>
    <n v="0"/>
    <n v="52011"/>
    <s v="UPI"/>
    <x v="0"/>
    <n v="200"/>
    <x v="0"/>
    <n v="2"/>
  </r>
  <r>
    <s v="ORD10398"/>
    <d v="2026-01-25T00:00:00"/>
    <x v="3"/>
    <s v="CUST1064"/>
    <s v="Rohan"/>
    <s v="Rohan"/>
    <x v="6"/>
    <x v="1"/>
    <x v="6"/>
    <x v="9"/>
    <n v="33"/>
    <m/>
    <m/>
    <x v="3"/>
    <n v="1"/>
    <n v="957"/>
    <n v="0"/>
    <n v="957"/>
    <s v="COD"/>
    <x v="2"/>
    <n v="129"/>
    <x v="2"/>
    <n v="3"/>
  </r>
  <r>
    <s v="ORD10399"/>
    <d v="2026-01-02T00:00:00"/>
    <x v="3"/>
    <s v="CUST1144"/>
    <s v="Rohan"/>
    <s v="Rohan"/>
    <x v="5"/>
    <x v="5"/>
    <x v="5"/>
    <x v="5"/>
    <n v="31"/>
    <m/>
    <m/>
    <x v="4"/>
    <n v="1"/>
    <n v="1500"/>
    <n v="0"/>
    <n v="1500"/>
    <s v="COD"/>
    <x v="2"/>
    <n v="129"/>
    <x v="0"/>
    <n v="4"/>
  </r>
  <r>
    <s v="ORD10400"/>
    <d v="2026-01-06T00:00:00"/>
    <x v="3"/>
    <s v="CUST1072"/>
    <s v="Vivek"/>
    <s v="Vivek"/>
    <x v="0"/>
    <x v="0"/>
    <x v="0"/>
    <x v="16"/>
    <n v="44"/>
    <m/>
    <m/>
    <x v="4"/>
    <n v="1"/>
    <n v="1600"/>
    <n v="10"/>
    <n v="1600"/>
    <s v="UPI"/>
    <x v="0"/>
    <n v="200"/>
    <x v="0"/>
    <n v="8"/>
  </r>
  <r>
    <s v="ORD10401"/>
    <d v="2026-01-07T00:00:00"/>
    <x v="3"/>
    <s v="CUST1036"/>
    <s v="Nikhil"/>
    <s v="Nikhil"/>
    <x v="3"/>
    <x v="3"/>
    <x v="3"/>
    <x v="20"/>
    <n v="34"/>
    <m/>
    <m/>
    <x v="3"/>
    <n v="1"/>
    <n v="1103"/>
    <n v="0"/>
    <n v="1103"/>
    <s v="UPI"/>
    <x v="0"/>
    <n v="200"/>
    <x v="0"/>
    <n v="5"/>
  </r>
  <r>
    <s v="ORD10402"/>
    <d v="2026-01-08T00:00:00"/>
    <x v="3"/>
    <s v="CUST1143"/>
    <s v="Priya"/>
    <s v="Priya"/>
    <x v="1"/>
    <x v="1"/>
    <x v="1"/>
    <x v="2"/>
    <n v="36"/>
    <m/>
    <m/>
    <x v="0"/>
    <n v="1"/>
    <n v="38853"/>
    <n v="20"/>
    <n v="38853"/>
    <s v="UPI"/>
    <x v="0"/>
    <n v="200"/>
    <x v="0"/>
    <n v="1"/>
  </r>
  <r>
    <s v="ORD10403"/>
    <d v="2026-06-24T00:00:00"/>
    <x v="5"/>
    <s v="CUST1070"/>
    <s v="Aditya"/>
    <s v="Aditya"/>
    <x v="2"/>
    <x v="8"/>
    <x v="2"/>
    <x v="12"/>
    <n v="41"/>
    <m/>
    <m/>
    <x v="0"/>
    <n v="2"/>
    <n v="37060"/>
    <n v="15"/>
    <n v="74120"/>
    <s v="UPI"/>
    <x v="0"/>
    <n v="200"/>
    <x v="0"/>
    <n v="3"/>
  </r>
  <r>
    <s v="ORD10404"/>
    <d v="2026-03-04T00:00:00"/>
    <x v="4"/>
    <s v="CUST1111"/>
    <s v="Simran"/>
    <s v="Simran"/>
    <x v="2"/>
    <x v="8"/>
    <x v="2"/>
    <x v="16"/>
    <n v="44"/>
    <m/>
    <m/>
    <x v="4"/>
    <n v="2"/>
    <n v="900"/>
    <n v="10"/>
    <n v="1800"/>
    <s v="UPI"/>
    <x v="0"/>
    <n v="200"/>
    <x v="0"/>
    <n v="3"/>
  </r>
  <r>
    <s v="ORD10405"/>
    <d v="2026-06-13T00:00:00"/>
    <x v="5"/>
    <s v="CUST1005"/>
    <s v="Neha"/>
    <s v="Neha"/>
    <x v="3"/>
    <x v="8"/>
    <x v="3"/>
    <x v="2"/>
    <n v="36"/>
    <m/>
    <m/>
    <x v="0"/>
    <n v="2"/>
    <n v="26302"/>
    <n v="0"/>
    <n v="52604"/>
    <s v="Card"/>
    <x v="1"/>
    <n v="135"/>
    <x v="0"/>
    <n v="2"/>
  </r>
  <r>
    <s v="ORD10406"/>
    <d v="2026-05-28T00:00:00"/>
    <x v="2"/>
    <s v="CUST1085"/>
    <s v="Neha"/>
    <s v="Neha"/>
    <x v="7"/>
    <x v="8"/>
    <x v="7"/>
    <x v="9"/>
    <n v="33"/>
    <m/>
    <m/>
    <x v="3"/>
    <n v="1"/>
    <n v="519"/>
    <n v="0"/>
    <n v="519"/>
    <s v="Net Banking"/>
    <x v="3"/>
    <n v="36"/>
    <x v="0"/>
    <n v="4"/>
  </r>
  <r>
    <s v="ORD10407"/>
    <d v="2026-06-08T00:00:00"/>
    <x v="5"/>
    <s v="CUST1144"/>
    <s v="Rohan"/>
    <s v="Rohan"/>
    <x v="2"/>
    <x v="8"/>
    <x v="2"/>
    <x v="16"/>
    <n v="44"/>
    <m/>
    <m/>
    <x v="4"/>
    <n v="1"/>
    <n v="3100"/>
    <n v="5"/>
    <n v="3100"/>
    <s v="UPI"/>
    <x v="0"/>
    <n v="200"/>
    <x v="0"/>
    <n v="6"/>
  </r>
  <r>
    <s v="ORD10408"/>
    <d v="2026-01-16T00:00:00"/>
    <x v="3"/>
    <s v="CUST1106"/>
    <s v="Aman"/>
    <s v="Aman"/>
    <x v="3"/>
    <x v="8"/>
    <x v="3"/>
    <x v="10"/>
    <n v="30"/>
    <m/>
    <m/>
    <x v="2"/>
    <n v="2"/>
    <n v="1300"/>
    <n v="10"/>
    <n v="2600"/>
    <s v="COD"/>
    <x v="2"/>
    <n v="129"/>
    <x v="0"/>
    <n v="1"/>
  </r>
  <r>
    <s v="ORD10409"/>
    <d v="2026-05-10T00:00:00"/>
    <x v="2"/>
    <s v="CUST1027"/>
    <s v="Kavya"/>
    <s v="Kavya"/>
    <x v="7"/>
    <x v="8"/>
    <x v="7"/>
    <x v="6"/>
    <n v="33"/>
    <m/>
    <m/>
    <x v="3"/>
    <n v="1"/>
    <n v="2125"/>
    <n v="0"/>
    <n v="2125"/>
    <s v="Net Banking"/>
    <x v="3"/>
    <n v="36"/>
    <x v="0"/>
    <n v="3"/>
  </r>
  <r>
    <s v="ORD10410"/>
    <d v="2026-04-23T00:00:00"/>
    <x v="0"/>
    <s v="CUST1077"/>
    <s v="Riya"/>
    <s v="Riya"/>
    <x v="1"/>
    <x v="8"/>
    <x v="1"/>
    <x v="1"/>
    <n v="20"/>
    <m/>
    <m/>
    <x v="1"/>
    <n v="1"/>
    <n v="1627"/>
    <n v="5"/>
    <n v="1627"/>
    <s v="UPI"/>
    <x v="0"/>
    <n v="200"/>
    <x v="0"/>
    <n v="3"/>
  </r>
  <r>
    <s v="ORD10411"/>
    <d v="2026-04-15T00:00:00"/>
    <x v="0"/>
    <s v="CUST1160"/>
    <s v="Aarav"/>
    <s v="Aarav"/>
    <x v="7"/>
    <x v="8"/>
    <x v="7"/>
    <x v="18"/>
    <n v="27"/>
    <m/>
    <m/>
    <x v="4"/>
    <n v="1"/>
    <n v="2600"/>
    <n v="15"/>
    <n v="2600"/>
    <s v="UPI"/>
    <x v="0"/>
    <n v="200"/>
    <x v="2"/>
    <n v="4"/>
  </r>
  <r>
    <s v="ORD10412"/>
    <d v="2026-03-30T00:00:00"/>
    <x v="4"/>
    <s v="CUST1124"/>
    <s v="Rohan"/>
    <s v="Rohan"/>
    <x v="5"/>
    <x v="8"/>
    <x v="5"/>
    <x v="22"/>
    <n v="54"/>
    <m/>
    <m/>
    <x v="4"/>
    <n v="1"/>
    <n v="3000"/>
    <n v="0"/>
    <n v="3000"/>
    <s v="UPI"/>
    <x v="0"/>
    <n v="200"/>
    <x v="0"/>
    <n v="3"/>
  </r>
  <r>
    <s v="ORD10413"/>
    <d v="2026-06-13T00:00:00"/>
    <x v="5"/>
    <s v="CUST1103"/>
    <s v="Priya"/>
    <s v="Priya"/>
    <x v="3"/>
    <x v="8"/>
    <x v="3"/>
    <x v="17"/>
    <n v="41"/>
    <m/>
    <m/>
    <x v="4"/>
    <n v="1"/>
    <n v="1800"/>
    <n v="15"/>
    <n v="1800"/>
    <s v="Card"/>
    <x v="1"/>
    <n v="135"/>
    <x v="0"/>
    <n v="7"/>
  </r>
  <r>
    <s v="ORD10414"/>
    <d v="2026-01-24T00:00:00"/>
    <x v="3"/>
    <s v="CUST1100"/>
    <s v="Aarav"/>
    <s v="Aarav"/>
    <x v="2"/>
    <x v="8"/>
    <x v="2"/>
    <x v="19"/>
    <n v="28"/>
    <m/>
    <m/>
    <x v="3"/>
    <n v="1"/>
    <n v="1541"/>
    <n v="15"/>
    <n v="1541"/>
    <s v="COD"/>
    <x v="2"/>
    <n v="129"/>
    <x v="0"/>
    <n v="5"/>
  </r>
  <r>
    <s v="ORD10415"/>
    <d v="2026-04-06T00:00:00"/>
    <x v="0"/>
    <s v="CUST1149"/>
    <s v="Pooja"/>
    <s v="Pooja"/>
    <x v="6"/>
    <x v="8"/>
    <x v="6"/>
    <x v="9"/>
    <n v="33"/>
    <m/>
    <m/>
    <x v="3"/>
    <n v="1"/>
    <n v="665"/>
    <n v="0"/>
    <n v="665"/>
    <s v="UPI"/>
    <x v="0"/>
    <n v="200"/>
    <x v="0"/>
    <n v="4"/>
  </r>
  <r>
    <s v="ORD10416"/>
    <d v="2026-04-14T00:00:00"/>
    <x v="0"/>
    <s v="CUST1005"/>
    <s v="Neha"/>
    <s v="Neha"/>
    <x v="3"/>
    <x v="8"/>
    <x v="3"/>
    <x v="22"/>
    <n v="54"/>
    <m/>
    <m/>
    <x v="4"/>
    <n v="3"/>
    <n v="2000"/>
    <n v="15"/>
    <n v="6000"/>
    <s v="UPI"/>
    <x v="0"/>
    <n v="200"/>
    <x v="0"/>
    <n v="4"/>
  </r>
  <r>
    <s v="ORD10417"/>
    <d v="2026-04-19T00:00:00"/>
    <x v="0"/>
    <s v="CUST1083"/>
    <s v="Priya"/>
    <s v="Priya"/>
    <x v="5"/>
    <x v="8"/>
    <x v="5"/>
    <x v="6"/>
    <n v="33"/>
    <m/>
    <m/>
    <x v="3"/>
    <n v="1"/>
    <n v="1249"/>
    <n v="0"/>
    <n v="1249"/>
    <s v="COD"/>
    <x v="2"/>
    <n v="129"/>
    <x v="0"/>
    <n v="1"/>
  </r>
  <r>
    <s v="ORD10418"/>
    <d v="2026-04-20T00:00:00"/>
    <x v="0"/>
    <s v="CUST1069"/>
    <s v="Pooja"/>
    <s v="Pooja"/>
    <x v="3"/>
    <x v="8"/>
    <x v="3"/>
    <x v="19"/>
    <n v="28"/>
    <m/>
    <m/>
    <x v="3"/>
    <n v="2"/>
    <n v="2198"/>
    <n v="20"/>
    <n v="4396"/>
    <s v="Card"/>
    <x v="1"/>
    <n v="135"/>
    <x v="0"/>
    <n v="6"/>
  </r>
  <r>
    <s v="ORD10419"/>
    <d v="2026-03-30T00:00:00"/>
    <x v="4"/>
    <s v="CUST1054"/>
    <s v="Karan"/>
    <s v="Karan"/>
    <x v="2"/>
    <x v="8"/>
    <x v="2"/>
    <x v="22"/>
    <n v="54"/>
    <m/>
    <m/>
    <x v="4"/>
    <n v="1"/>
    <n v="2700"/>
    <n v="15"/>
    <n v="2700"/>
    <s v="Net Banking"/>
    <x v="3"/>
    <n v="36"/>
    <x v="0"/>
    <n v="3"/>
  </r>
  <r>
    <s v="ORD10420"/>
    <d v="2026-01-16T00:00:00"/>
    <x v="3"/>
    <s v="CUST1179"/>
    <s v="Meera"/>
    <s v="Meera"/>
    <x v="1"/>
    <x v="8"/>
    <x v="1"/>
    <x v="4"/>
    <n v="29"/>
    <m/>
    <m/>
    <x v="3"/>
    <n v="1"/>
    <n v="2490"/>
    <n v="5"/>
    <n v="2490"/>
    <s v="UPI"/>
    <x v="0"/>
    <n v="200"/>
    <x v="0"/>
    <n v="2"/>
  </r>
  <r>
    <s v="ORD10421"/>
    <d v="2026-06-10T00:00:00"/>
    <x v="5"/>
    <s v="CUST1019"/>
    <s v="Meera"/>
    <s v="Meera"/>
    <x v="7"/>
    <x v="8"/>
    <x v="7"/>
    <x v="23"/>
    <n v="14"/>
    <m/>
    <m/>
    <x v="0"/>
    <n v="2"/>
    <n v="20923"/>
    <n v="15"/>
    <n v="41846"/>
    <s v="COD"/>
    <x v="2"/>
    <n v="129"/>
    <x v="0"/>
    <n v="5"/>
  </r>
  <r>
    <s v="ORD10422"/>
    <d v="2026-04-12T00:00:00"/>
    <x v="0"/>
    <s v="CUST1042"/>
    <s v="Rahul"/>
    <s v="Rahul"/>
    <x v="3"/>
    <x v="8"/>
    <x v="3"/>
    <x v="14"/>
    <n v="26"/>
    <m/>
    <m/>
    <x v="1"/>
    <n v="2"/>
    <n v="1627"/>
    <n v="5"/>
    <n v="3254"/>
    <s v="Card"/>
    <x v="1"/>
    <n v="135"/>
    <x v="0"/>
    <n v="2"/>
  </r>
  <r>
    <s v="ORD10423"/>
    <d v="2026-03-31T00:00:00"/>
    <x v="4"/>
    <s v="CUST1012"/>
    <s v="Vivek"/>
    <s v="Vivek"/>
    <x v="3"/>
    <x v="8"/>
    <x v="3"/>
    <x v="5"/>
    <n v="31"/>
    <m/>
    <m/>
    <x v="4"/>
    <n v="1"/>
    <n v="1700"/>
    <n v="0"/>
    <n v="1700"/>
    <s v="UPI"/>
    <x v="0"/>
    <n v="200"/>
    <x v="0"/>
    <n v="4"/>
  </r>
  <r>
    <s v="ORD10424"/>
    <d v="2026-01-11T00:00:00"/>
    <x v="3"/>
    <s v="CUST1175"/>
    <s v="Isha"/>
    <s v="Isha"/>
    <x v="7"/>
    <x v="8"/>
    <x v="7"/>
    <x v="1"/>
    <n v="20"/>
    <m/>
    <m/>
    <x v="1"/>
    <n v="1"/>
    <n v="760"/>
    <n v="5"/>
    <n v="760"/>
    <s v="Card"/>
    <x v="1"/>
    <n v="135"/>
    <x v="0"/>
    <n v="1"/>
  </r>
  <r>
    <s v="ORD10425"/>
    <d v="2026-04-30T00:00:00"/>
    <x v="0"/>
    <s v="CUST1165"/>
    <s v="Neha"/>
    <s v="Neha"/>
    <x v="3"/>
    <x v="8"/>
    <x v="3"/>
    <x v="15"/>
    <n v="10"/>
    <m/>
    <m/>
    <x v="2"/>
    <n v="2"/>
    <n v="1350"/>
    <n v="15"/>
    <n v="2700"/>
    <s v="UPI"/>
    <x v="0"/>
    <n v="200"/>
    <x v="1"/>
    <n v="0"/>
  </r>
  <r>
    <s v="ORD10426"/>
    <d v="2026-02-15T00:00:00"/>
    <x v="1"/>
    <s v="CUST1049"/>
    <s v="Pooja"/>
    <s v="Pooja"/>
    <x v="6"/>
    <x v="8"/>
    <x v="6"/>
    <x v="13"/>
    <n v="28"/>
    <m/>
    <m/>
    <x v="2"/>
    <n v="2"/>
    <n v="1350"/>
    <n v="5"/>
    <n v="2700"/>
    <s v="Net Banking"/>
    <x v="3"/>
    <n v="36"/>
    <x v="0"/>
    <n v="2"/>
  </r>
  <r>
    <s v="ORD10427"/>
    <d v="2026-01-07T00:00:00"/>
    <x v="3"/>
    <s v="CUST1097"/>
    <s v="Riya"/>
    <s v="Riya"/>
    <x v="4"/>
    <x v="8"/>
    <x v="4"/>
    <x v="17"/>
    <n v="41"/>
    <m/>
    <m/>
    <x v="4"/>
    <n v="2"/>
    <n v="2700"/>
    <n v="5"/>
    <n v="5400"/>
    <s v="Card"/>
    <x v="1"/>
    <n v="135"/>
    <x v="0"/>
    <n v="4"/>
  </r>
  <r>
    <s v="ORD10428"/>
    <d v="2026-06-13T00:00:00"/>
    <x v="5"/>
    <s v="CUST1110"/>
    <s v="Aditya"/>
    <s v="Aditya"/>
    <x v="3"/>
    <x v="8"/>
    <x v="3"/>
    <x v="2"/>
    <n v="36"/>
    <m/>
    <m/>
    <x v="0"/>
    <n v="1"/>
    <n v="29888"/>
    <n v="0"/>
    <n v="29888"/>
    <s v="Net Banking"/>
    <x v="3"/>
    <n v="36"/>
    <x v="0"/>
    <n v="5"/>
  </r>
  <r>
    <s v="ORD10429"/>
    <d v="2026-06-28T00:00:00"/>
    <x v="5"/>
    <s v="CUST1022"/>
    <s v="Rahul"/>
    <s v="Rahul"/>
    <x v="3"/>
    <x v="8"/>
    <x v="3"/>
    <x v="19"/>
    <n v="28"/>
    <m/>
    <m/>
    <x v="3"/>
    <n v="1"/>
    <n v="1833"/>
    <n v="0"/>
    <n v="1833"/>
    <s v="COD"/>
    <x v="2"/>
    <n v="129"/>
    <x v="1"/>
    <n v="0"/>
  </r>
  <r>
    <s v="ORD10430"/>
    <d v="2026-03-22T00:00:00"/>
    <x v="4"/>
    <s v="CUST1162"/>
    <s v="Rahul"/>
    <s v="Rahul"/>
    <x v="1"/>
    <x v="8"/>
    <x v="1"/>
    <x v="12"/>
    <n v="41"/>
    <m/>
    <m/>
    <x v="0"/>
    <n v="1"/>
    <n v="44232"/>
    <n v="10"/>
    <n v="44232"/>
    <s v="UPI"/>
    <x v="0"/>
    <n v="200"/>
    <x v="0"/>
    <n v="3"/>
  </r>
  <r>
    <s v="ORD10431"/>
    <d v="2026-01-04T00:00:00"/>
    <x v="3"/>
    <s v="CUST1152"/>
    <s v="Vivek"/>
    <s v="Vivek"/>
    <x v="6"/>
    <x v="8"/>
    <x v="6"/>
    <x v="12"/>
    <n v="41"/>
    <m/>
    <m/>
    <x v="0"/>
    <n v="1"/>
    <n v="6579"/>
    <n v="10"/>
    <n v="6579"/>
    <s v="COD"/>
    <x v="2"/>
    <n v="129"/>
    <x v="0"/>
    <n v="2"/>
  </r>
  <r>
    <s v="ORD10432"/>
    <d v="2026-02-05T00:00:00"/>
    <x v="1"/>
    <s v="CUST1165"/>
    <s v="Neha"/>
    <s v="Neha"/>
    <x v="7"/>
    <x v="8"/>
    <x v="7"/>
    <x v="23"/>
    <n v="14"/>
    <m/>
    <m/>
    <x v="0"/>
    <n v="1"/>
    <n v="24509"/>
    <n v="0"/>
    <n v="24509"/>
    <s v="COD"/>
    <x v="2"/>
    <n v="129"/>
    <x v="0"/>
    <n v="3"/>
  </r>
  <r>
    <s v="ORD10433"/>
    <d v="2026-01-17T00:00:00"/>
    <x v="3"/>
    <s v="CUST1036"/>
    <s v="Nikhil"/>
    <s v="Nikhil"/>
    <x v="4"/>
    <x v="8"/>
    <x v="4"/>
    <x v="17"/>
    <n v="41"/>
    <m/>
    <m/>
    <x v="4"/>
    <n v="1"/>
    <n v="800"/>
    <n v="5"/>
    <n v="800"/>
    <s v="COD"/>
    <x v="2"/>
    <n v="129"/>
    <x v="1"/>
    <n v="0"/>
  </r>
  <r>
    <s v="ORD10434"/>
    <d v="2026-01-18T00:00:00"/>
    <x v="3"/>
    <s v="CUST1044"/>
    <s v="Rohan"/>
    <s v="Rohan"/>
    <x v="2"/>
    <x v="8"/>
    <x v="2"/>
    <x v="0"/>
    <n v="55"/>
    <m/>
    <m/>
    <x v="0"/>
    <n v="1"/>
    <n v="1200"/>
    <n v="25"/>
    <n v="1200"/>
    <s v="UPI"/>
    <x v="0"/>
    <n v="200"/>
    <x v="0"/>
    <n v="5"/>
  </r>
  <r>
    <s v="ORD10435"/>
    <d v="2026-06-01T00:00:00"/>
    <x v="5"/>
    <s v="CUST1155"/>
    <s v="Isha"/>
    <s v="Isha"/>
    <x v="4"/>
    <x v="8"/>
    <x v="4"/>
    <x v="19"/>
    <n v="28"/>
    <m/>
    <m/>
    <x v="3"/>
    <n v="2"/>
    <n v="2417"/>
    <n v="10"/>
    <n v="4834"/>
    <s v="COD"/>
    <x v="2"/>
    <n v="129"/>
    <x v="1"/>
    <n v="0"/>
  </r>
  <r>
    <s v="ORD10436"/>
    <d v="2026-06-16T00:00:00"/>
    <x v="5"/>
    <s v="CUST1166"/>
    <s v="Aman"/>
    <s v="Aman"/>
    <x v="1"/>
    <x v="8"/>
    <x v="1"/>
    <x v="0"/>
    <n v="55"/>
    <m/>
    <m/>
    <x v="0"/>
    <n v="1"/>
    <n v="1200"/>
    <n v="5"/>
    <n v="1200"/>
    <s v="Card"/>
    <x v="1"/>
    <n v="135"/>
    <x v="0"/>
    <n v="3"/>
  </r>
  <r>
    <s v="ORD10437"/>
    <d v="2026-06-14T00:00:00"/>
    <x v="5"/>
    <s v="CUST1022"/>
    <s v="Rahul"/>
    <s v="Rahul"/>
    <x v="5"/>
    <x v="8"/>
    <x v="5"/>
    <x v="1"/>
    <n v="20"/>
    <m/>
    <m/>
    <x v="1"/>
    <n v="2"/>
    <n v="760"/>
    <n v="10"/>
    <n v="1520"/>
    <s v="UPI"/>
    <x v="0"/>
    <n v="200"/>
    <x v="0"/>
    <n v="1"/>
  </r>
  <r>
    <s v="ORD10438"/>
    <d v="2026-06-21T00:00:00"/>
    <x v="5"/>
    <s v="CUST1009"/>
    <s v="Pooja"/>
    <s v="Pooja"/>
    <x v="1"/>
    <x v="8"/>
    <x v="1"/>
    <x v="17"/>
    <n v="41"/>
    <m/>
    <m/>
    <x v="4"/>
    <n v="1"/>
    <n v="2500"/>
    <n v="25"/>
    <n v="2500"/>
    <s v="Card"/>
    <x v="1"/>
    <n v="135"/>
    <x v="0"/>
    <n v="5"/>
  </r>
  <r>
    <s v="ORD10439"/>
    <d v="2026-06-22T00:00:00"/>
    <x v="5"/>
    <s v="CUST1157"/>
    <s v="Riya"/>
    <s v="Riya"/>
    <x v="0"/>
    <x v="8"/>
    <x v="0"/>
    <x v="14"/>
    <n v="26"/>
    <m/>
    <m/>
    <x v="1"/>
    <n v="1"/>
    <n v="709"/>
    <n v="15"/>
    <n v="709"/>
    <s v="Card"/>
    <x v="1"/>
    <n v="135"/>
    <x v="0"/>
    <n v="1"/>
  </r>
  <r>
    <s v="ORD10440"/>
    <d v="2026-05-03T00:00:00"/>
    <x v="2"/>
    <s v="CUST1122"/>
    <s v="Rahul"/>
    <s v="Rahul"/>
    <x v="3"/>
    <x v="8"/>
    <x v="3"/>
    <x v="2"/>
    <n v="36"/>
    <m/>
    <m/>
    <x v="0"/>
    <n v="1"/>
    <n v="51404"/>
    <n v="0"/>
    <n v="51404"/>
    <s v="UPI"/>
    <x v="0"/>
    <n v="200"/>
    <x v="0"/>
    <n v="1"/>
  </r>
  <r>
    <s v="ORD10441"/>
    <d v="2026-03-25T00:00:00"/>
    <x v="4"/>
    <s v="CUST1078"/>
    <s v="Varun"/>
    <s v="Varun"/>
    <x v="4"/>
    <x v="8"/>
    <x v="4"/>
    <x v="23"/>
    <n v="14"/>
    <m/>
    <m/>
    <x v="0"/>
    <n v="1"/>
    <n v="22716"/>
    <n v="10"/>
    <n v="22716"/>
    <s v="Net Banking"/>
    <x v="3"/>
    <n v="36"/>
    <x v="0"/>
    <n v="3"/>
  </r>
  <r>
    <s v="ORD10442"/>
    <d v="2026-03-18T00:00:00"/>
    <x v="4"/>
    <s v="CUST1113"/>
    <s v="Sneha"/>
    <s v="Sneha"/>
    <x v="3"/>
    <x v="8"/>
    <x v="3"/>
    <x v="3"/>
    <n v="29"/>
    <m/>
    <m/>
    <x v="2"/>
    <n v="3"/>
    <n v="550"/>
    <n v="10"/>
    <n v="1650"/>
    <s v="Card"/>
    <x v="1"/>
    <n v="135"/>
    <x v="0"/>
    <n v="1"/>
  </r>
  <r>
    <s v="ORD10443"/>
    <d v="2026-02-19T00:00:00"/>
    <x v="1"/>
    <s v="CUST1171"/>
    <s v="Simran"/>
    <s v="Simran"/>
    <x v="3"/>
    <x v="8"/>
    <x v="3"/>
    <x v="12"/>
    <n v="41"/>
    <m/>
    <m/>
    <x v="0"/>
    <n v="1"/>
    <n v="24509"/>
    <n v="5"/>
    <n v="24509"/>
    <s v="UPI"/>
    <x v="0"/>
    <n v="200"/>
    <x v="2"/>
    <n v="6"/>
  </r>
  <r>
    <s v="ORD10444"/>
    <d v="2026-01-25T00:00:00"/>
    <x v="3"/>
    <s v="CUST1068"/>
    <s v="Arjun"/>
    <s v="Arjun"/>
    <x v="3"/>
    <x v="8"/>
    <x v="3"/>
    <x v="22"/>
    <n v="54"/>
    <m/>
    <m/>
    <x v="4"/>
    <n v="2"/>
    <n v="2200"/>
    <n v="0"/>
    <n v="4400"/>
    <s v="UPI"/>
    <x v="0"/>
    <n v="200"/>
    <x v="0"/>
    <n v="4"/>
  </r>
  <r>
    <s v="ORD10445"/>
    <d v="2026-02-15T00:00:00"/>
    <x v="1"/>
    <s v="CUST1025"/>
    <s v="Neha"/>
    <s v="Neha"/>
    <x v="1"/>
    <x v="8"/>
    <x v="1"/>
    <x v="12"/>
    <n v="41"/>
    <m/>
    <m/>
    <x v="0"/>
    <n v="1"/>
    <n v="13751"/>
    <n v="25"/>
    <n v="13751"/>
    <s v="UPI"/>
    <x v="0"/>
    <n v="200"/>
    <x v="0"/>
    <n v="5"/>
  </r>
  <r>
    <s v="ORD10446"/>
    <d v="2026-05-28T00:00:00"/>
    <x v="2"/>
    <s v="CUST1147"/>
    <s v="Kavya"/>
    <s v="Kavya"/>
    <x v="3"/>
    <x v="8"/>
    <x v="3"/>
    <x v="1"/>
    <n v="20"/>
    <m/>
    <m/>
    <x v="1"/>
    <n v="1"/>
    <n v="709"/>
    <n v="10"/>
    <n v="709"/>
    <s v="Net Banking"/>
    <x v="3"/>
    <n v="36"/>
    <x v="0"/>
    <n v="1"/>
  </r>
  <r>
    <s v="ORD10447"/>
    <d v="2026-02-04T00:00:00"/>
    <x v="1"/>
    <s v="CUST1019"/>
    <s v="Meera"/>
    <s v="Meera"/>
    <x v="2"/>
    <x v="8"/>
    <x v="2"/>
    <x v="19"/>
    <n v="28"/>
    <m/>
    <m/>
    <x v="3"/>
    <n v="1"/>
    <n v="1103"/>
    <n v="10"/>
    <n v="1103"/>
    <s v="COD"/>
    <x v="2"/>
    <n v="129"/>
    <x v="0"/>
    <n v="2"/>
  </r>
  <r>
    <s v="ORD10448"/>
    <d v="2026-03-23T00:00:00"/>
    <x v="4"/>
    <s v="CUST1038"/>
    <s v="Varun"/>
    <s v="Varun"/>
    <x v="0"/>
    <x v="8"/>
    <x v="0"/>
    <x v="22"/>
    <n v="54"/>
    <m/>
    <m/>
    <x v="4"/>
    <n v="1"/>
    <n v="3100"/>
    <n v="10"/>
    <n v="3100"/>
    <s v="UPI"/>
    <x v="0"/>
    <n v="200"/>
    <x v="0"/>
    <n v="4"/>
  </r>
  <r>
    <s v="ORD10449"/>
    <d v="2026-03-18T00:00:00"/>
    <x v="4"/>
    <s v="CUST1085"/>
    <s v="Neha"/>
    <s v="Neha"/>
    <x v="7"/>
    <x v="8"/>
    <x v="7"/>
    <x v="20"/>
    <n v="34"/>
    <m/>
    <m/>
    <x v="3"/>
    <n v="2"/>
    <n v="1395"/>
    <n v="25"/>
    <n v="2790"/>
    <s v="UPI"/>
    <x v="0"/>
    <n v="200"/>
    <x v="0"/>
    <n v="6"/>
  </r>
  <r>
    <s v="ORD10450"/>
    <d v="2026-01-26T00:00:00"/>
    <x v="3"/>
    <s v="CUST1087"/>
    <s v="Kavya"/>
    <s v="Kavya"/>
    <x v="5"/>
    <x v="8"/>
    <x v="5"/>
    <x v="8"/>
    <n v="14"/>
    <m/>
    <m/>
    <x v="2"/>
    <n v="1"/>
    <n v="400"/>
    <n v="10"/>
    <n v="400"/>
    <s v="Card"/>
    <x v="1"/>
    <n v="135"/>
    <x v="0"/>
    <n v="3"/>
  </r>
  <r>
    <s v="ORD10451"/>
    <d v="2026-05-29T00:00:00"/>
    <x v="2"/>
    <s v="CUST1050"/>
    <s v="Aditya"/>
    <s v="Aditya"/>
    <x v="4"/>
    <x v="8"/>
    <x v="4"/>
    <x v="19"/>
    <n v="28"/>
    <m/>
    <m/>
    <x v="3"/>
    <n v="1"/>
    <n v="1103"/>
    <n v="15"/>
    <n v="1103"/>
    <s v="UPI"/>
    <x v="0"/>
    <n v="200"/>
    <x v="0"/>
    <n v="1"/>
  </r>
  <r>
    <s v="ORD10452"/>
    <d v="2026-06-25T00:00:00"/>
    <x v="5"/>
    <s v="CUST1101"/>
    <s v="Ananya"/>
    <s v="Ananya"/>
    <x v="7"/>
    <x v="8"/>
    <x v="7"/>
    <x v="17"/>
    <n v="41"/>
    <m/>
    <m/>
    <x v="4"/>
    <n v="1"/>
    <n v="2500"/>
    <n v="15"/>
    <n v="2500"/>
    <s v="COD"/>
    <x v="2"/>
    <n v="129"/>
    <x v="0"/>
    <n v="3"/>
  </r>
  <r>
    <s v="ORD10453"/>
    <d v="2026-04-27T00:00:00"/>
    <x v="0"/>
    <s v="CUST1134"/>
    <s v="Karan"/>
    <s v="Karan"/>
    <x v="3"/>
    <x v="8"/>
    <x v="3"/>
    <x v="9"/>
    <n v="33"/>
    <m/>
    <m/>
    <x v="3"/>
    <n v="1"/>
    <n v="2052"/>
    <n v="5"/>
    <n v="2052"/>
    <s v="COD"/>
    <x v="2"/>
    <n v="129"/>
    <x v="0"/>
    <n v="3"/>
  </r>
  <r>
    <s v="ORD10454"/>
    <d v="2026-06-22T00:00:00"/>
    <x v="5"/>
    <s v="CUST1035"/>
    <s v="Isha"/>
    <s v="Isha"/>
    <x v="2"/>
    <x v="8"/>
    <x v="2"/>
    <x v="23"/>
    <n v="14"/>
    <m/>
    <m/>
    <x v="0"/>
    <n v="1"/>
    <n v="40646"/>
    <n v="0"/>
    <n v="40646"/>
    <s v="UPI"/>
    <x v="0"/>
    <n v="200"/>
    <x v="0"/>
    <n v="2"/>
  </r>
  <r>
    <s v="ORD10455"/>
    <d v="2026-01-01T00:00:00"/>
    <x v="3"/>
    <s v="CUST1025"/>
    <s v="Neha"/>
    <s v="Neha"/>
    <x v="3"/>
    <x v="8"/>
    <x v="3"/>
    <x v="2"/>
    <n v="36"/>
    <m/>
    <m/>
    <x v="0"/>
    <n v="1"/>
    <n v="53197"/>
    <n v="20"/>
    <n v="53197"/>
    <s v="Card"/>
    <x v="1"/>
    <n v="135"/>
    <x v="0"/>
    <n v="3"/>
  </r>
  <r>
    <s v="ORD10456"/>
    <d v="2026-01-16T00:00:00"/>
    <x v="3"/>
    <s v="CUST1021"/>
    <s v="Ananya"/>
    <s v="Ananya"/>
    <x v="2"/>
    <x v="8"/>
    <x v="2"/>
    <x v="16"/>
    <n v="44"/>
    <m/>
    <m/>
    <x v="4"/>
    <n v="1"/>
    <n v="2300"/>
    <n v="0"/>
    <n v="2300"/>
    <s v="COD"/>
    <x v="2"/>
    <n v="129"/>
    <x v="0"/>
    <n v="7"/>
  </r>
  <r>
    <s v="ORD10457"/>
    <d v="2026-05-02T00:00:00"/>
    <x v="2"/>
    <s v="CUST1088"/>
    <s v="Arjun"/>
    <s v="Arjun"/>
    <x v="3"/>
    <x v="8"/>
    <x v="3"/>
    <x v="24"/>
    <n v="18"/>
    <m/>
    <m/>
    <x v="1"/>
    <n v="2"/>
    <n v="556"/>
    <n v="15"/>
    <n v="1112"/>
    <s v="COD"/>
    <x v="2"/>
    <n v="129"/>
    <x v="0"/>
    <n v="1"/>
  </r>
  <r>
    <s v="ORD10458"/>
    <d v="2026-05-05T00:00:00"/>
    <x v="2"/>
    <s v="CUST1020"/>
    <s v="Aarav"/>
    <s v="Aarav"/>
    <x v="0"/>
    <x v="8"/>
    <x v="0"/>
    <x v="21"/>
    <n v="35"/>
    <m/>
    <m/>
    <x v="0"/>
    <n v="2"/>
    <n v="22716"/>
    <n v="20"/>
    <n v="45432"/>
    <s v="UPI"/>
    <x v="0"/>
    <n v="200"/>
    <x v="0"/>
    <n v="3"/>
  </r>
  <r>
    <s v="ORD10459"/>
    <d v="2026-03-20T00:00:00"/>
    <x v="4"/>
    <s v="CUST1110"/>
    <s v="Aditya"/>
    <s v="Aditya"/>
    <x v="6"/>
    <x v="8"/>
    <x v="6"/>
    <x v="19"/>
    <n v="28"/>
    <m/>
    <m/>
    <x v="3"/>
    <n v="4"/>
    <n v="519"/>
    <n v="15"/>
    <n v="2076"/>
    <s v="UPI"/>
    <x v="0"/>
    <n v="200"/>
    <x v="0"/>
    <n v="5"/>
  </r>
  <r>
    <s v="ORD10460"/>
    <d v="2026-01-09T00:00:00"/>
    <x v="3"/>
    <s v="CUST1060"/>
    <s v="Aarav"/>
    <s v="Aarav"/>
    <x v="3"/>
    <x v="8"/>
    <x v="3"/>
    <x v="0"/>
    <n v="55"/>
    <m/>
    <m/>
    <x v="0"/>
    <n v="1"/>
    <n v="51404"/>
    <n v="5"/>
    <n v="51404"/>
    <s v="UPI"/>
    <x v="0"/>
    <n v="200"/>
    <x v="0"/>
    <n v="6"/>
  </r>
  <r>
    <s v="ORD10461"/>
    <d v="2026-01-23T00:00:00"/>
    <x v="3"/>
    <s v="CUST1031"/>
    <s v="Simran"/>
    <s v="Simran"/>
    <x v="7"/>
    <x v="8"/>
    <x v="7"/>
    <x v="14"/>
    <n v="26"/>
    <m/>
    <m/>
    <x v="1"/>
    <n v="1"/>
    <n v="1372"/>
    <n v="5"/>
    <n v="1372"/>
    <s v="COD"/>
    <x v="2"/>
    <n v="129"/>
    <x v="0"/>
    <n v="3"/>
  </r>
  <r>
    <s v="ORD10462"/>
    <d v="2026-06-27T00:00:00"/>
    <x v="5"/>
    <s v="CUST1075"/>
    <s v="Isha"/>
    <s v="Isha"/>
    <x v="2"/>
    <x v="8"/>
    <x v="2"/>
    <x v="0"/>
    <n v="55"/>
    <m/>
    <m/>
    <x v="0"/>
    <n v="3"/>
    <n v="2993"/>
    <n v="5"/>
    <n v="8979"/>
    <s v="Card"/>
    <x v="1"/>
    <n v="135"/>
    <x v="0"/>
    <n v="2"/>
  </r>
  <r>
    <s v="ORD10463"/>
    <d v="2026-04-28T00:00:00"/>
    <x v="0"/>
    <s v="CUST1068"/>
    <s v="Arjun"/>
    <s v="Arjun"/>
    <x v="2"/>
    <x v="8"/>
    <x v="2"/>
    <x v="6"/>
    <n v="33"/>
    <m/>
    <m/>
    <x v="3"/>
    <n v="1"/>
    <n v="2271"/>
    <n v="0"/>
    <n v="2271"/>
    <s v="COD"/>
    <x v="2"/>
    <n v="129"/>
    <x v="1"/>
    <n v="0"/>
  </r>
  <r>
    <s v="ORD10464"/>
    <d v="2026-01-15T00:00:00"/>
    <x v="3"/>
    <s v="CUST1111"/>
    <s v="Simran"/>
    <s v="Simran"/>
    <x v="6"/>
    <x v="8"/>
    <x v="6"/>
    <x v="8"/>
    <n v="14"/>
    <m/>
    <m/>
    <x v="2"/>
    <n v="3"/>
    <n v="1050"/>
    <n v="5"/>
    <n v="3150"/>
    <s v="UPI"/>
    <x v="0"/>
    <n v="200"/>
    <x v="0"/>
    <n v="1"/>
  </r>
  <r>
    <s v="ORD10465"/>
    <d v="2026-06-28T00:00:00"/>
    <x v="5"/>
    <s v="CUST1152"/>
    <s v="Vivek"/>
    <s v="Vivek"/>
    <x v="2"/>
    <x v="8"/>
    <x v="2"/>
    <x v="22"/>
    <n v="54"/>
    <m/>
    <m/>
    <x v="4"/>
    <n v="2"/>
    <n v="2300"/>
    <n v="5"/>
    <n v="4600"/>
    <s v="COD"/>
    <x v="2"/>
    <n v="129"/>
    <x v="0"/>
    <n v="4"/>
  </r>
  <r>
    <s v="ORD10466"/>
    <d v="2026-05-26T00:00:00"/>
    <x v="2"/>
    <s v="CUST1028"/>
    <s v="Arjun"/>
    <s v="Arjun"/>
    <x v="1"/>
    <x v="8"/>
    <x v="1"/>
    <x v="4"/>
    <n v="29"/>
    <m/>
    <m/>
    <x v="3"/>
    <n v="1"/>
    <n v="1906"/>
    <n v="10"/>
    <n v="1906"/>
    <s v="Card"/>
    <x v="1"/>
    <n v="135"/>
    <x v="0"/>
    <n v="4"/>
  </r>
  <r>
    <s v="ORD10467"/>
    <d v="2026-05-11T00:00:00"/>
    <x v="2"/>
    <s v="CUST1179"/>
    <s v="Meera"/>
    <s v="Meera"/>
    <x v="3"/>
    <x v="8"/>
    <x v="3"/>
    <x v="23"/>
    <n v="14"/>
    <m/>
    <m/>
    <x v="0"/>
    <n v="1"/>
    <n v="46025"/>
    <n v="10"/>
    <n v="46025"/>
    <s v="UPI"/>
    <x v="0"/>
    <n v="200"/>
    <x v="1"/>
    <n v="0"/>
  </r>
  <r>
    <s v="ORD10468"/>
    <d v="2026-01-20T00:00:00"/>
    <x v="3"/>
    <s v="CUST1104"/>
    <s v="Rohan"/>
    <s v="Rohan"/>
    <x v="2"/>
    <x v="8"/>
    <x v="2"/>
    <x v="7"/>
    <n v="23"/>
    <m/>
    <m/>
    <x v="1"/>
    <n v="2"/>
    <n v="862"/>
    <n v="15"/>
    <n v="1724"/>
    <s v="Card"/>
    <x v="1"/>
    <n v="135"/>
    <x v="0"/>
    <n v="2"/>
  </r>
  <r>
    <s v="ORD10469"/>
    <d v="2026-01-07T00:00:00"/>
    <x v="3"/>
    <s v="CUST1165"/>
    <s v="Neha"/>
    <s v="Neha"/>
    <x v="6"/>
    <x v="8"/>
    <x v="6"/>
    <x v="22"/>
    <n v="54"/>
    <m/>
    <m/>
    <x v="4"/>
    <n v="1"/>
    <n v="2700"/>
    <n v="15"/>
    <n v="2700"/>
    <s v="Card"/>
    <x v="1"/>
    <n v="135"/>
    <x v="0"/>
    <n v="5"/>
  </r>
  <r>
    <s v="ORD10470"/>
    <d v="2026-05-07T00:00:00"/>
    <x v="2"/>
    <s v="CUST1082"/>
    <s v="Rahul"/>
    <s v="Rahul"/>
    <x v="4"/>
    <x v="8"/>
    <x v="4"/>
    <x v="24"/>
    <n v="18"/>
    <m/>
    <m/>
    <x v="1"/>
    <n v="3"/>
    <n v="1219"/>
    <n v="5"/>
    <n v="3657"/>
    <s v="Card"/>
    <x v="1"/>
    <n v="135"/>
    <x v="0"/>
    <n v="1"/>
  </r>
  <r>
    <s v="ORD10471"/>
    <d v="2026-02-19T00:00:00"/>
    <x v="1"/>
    <s v="CUST1105"/>
    <s v="Neha"/>
    <s v="Neha"/>
    <x v="2"/>
    <x v="8"/>
    <x v="2"/>
    <x v="5"/>
    <n v="31"/>
    <m/>
    <m/>
    <x v="4"/>
    <n v="2"/>
    <n v="1900"/>
    <n v="5"/>
    <n v="3800"/>
    <s v="Card"/>
    <x v="1"/>
    <n v="135"/>
    <x v="0"/>
    <n v="4"/>
  </r>
  <r>
    <s v="ORD10472"/>
    <d v="2026-04-08T00:00:00"/>
    <x v="0"/>
    <s v="CUST1159"/>
    <s v="Meera"/>
    <s v="Meera"/>
    <x v="0"/>
    <x v="8"/>
    <x v="0"/>
    <x v="22"/>
    <n v="54"/>
    <m/>
    <m/>
    <x v="4"/>
    <n v="1"/>
    <n v="2100"/>
    <n v="0"/>
    <n v="2100"/>
    <s v="UPI"/>
    <x v="0"/>
    <n v="200"/>
    <x v="0"/>
    <n v="4"/>
  </r>
  <r>
    <s v="ORD10473"/>
    <d v="2026-06-02T00:00:00"/>
    <x v="5"/>
    <s v="CUST1022"/>
    <s v="Rahul"/>
    <s v="Rahul"/>
    <x v="3"/>
    <x v="8"/>
    <x v="3"/>
    <x v="3"/>
    <n v="29"/>
    <m/>
    <m/>
    <x v="2"/>
    <n v="1"/>
    <n v="950"/>
    <n v="20"/>
    <n v="950"/>
    <s v="Card"/>
    <x v="1"/>
    <n v="135"/>
    <x v="0"/>
    <n v="1"/>
  </r>
  <r>
    <s v="ORD10474"/>
    <d v="2026-02-04T00:00:00"/>
    <x v="1"/>
    <s v="CUST1069"/>
    <s v="Pooja"/>
    <s v="Pooja"/>
    <x v="5"/>
    <x v="8"/>
    <x v="5"/>
    <x v="8"/>
    <n v="14"/>
    <m/>
    <m/>
    <x v="2"/>
    <n v="1"/>
    <n v="650"/>
    <n v="5"/>
    <n v="650"/>
    <s v="COD"/>
    <x v="2"/>
    <n v="129"/>
    <x v="0"/>
    <n v="3"/>
  </r>
  <r>
    <s v="ORD10475"/>
    <d v="2026-03-10T00:00:00"/>
    <x v="4"/>
    <s v="CUST1100"/>
    <s v="Aarav"/>
    <s v="Aarav"/>
    <x v="5"/>
    <x v="8"/>
    <x v="5"/>
    <x v="17"/>
    <n v="41"/>
    <m/>
    <m/>
    <x v="4"/>
    <n v="1"/>
    <n v="900"/>
    <n v="5"/>
    <n v="900"/>
    <s v="UPI"/>
    <x v="0"/>
    <n v="200"/>
    <x v="0"/>
    <n v="2"/>
  </r>
  <r>
    <s v="ORD10476"/>
    <d v="2026-03-27T00:00:00"/>
    <x v="4"/>
    <s v="CUST1125"/>
    <s v="Neha"/>
    <s v="Neha"/>
    <x v="0"/>
    <x v="8"/>
    <x v="0"/>
    <x v="14"/>
    <n v="26"/>
    <m/>
    <m/>
    <x v="1"/>
    <n v="2"/>
    <n v="505"/>
    <n v="20"/>
    <n v="1010"/>
    <s v="COD"/>
    <x v="2"/>
    <n v="129"/>
    <x v="0"/>
    <n v="1"/>
  </r>
  <r>
    <s v="ORD10477"/>
    <d v="2026-03-23T00:00:00"/>
    <x v="4"/>
    <s v="CUST1034"/>
    <s v="Karan"/>
    <s v="Karan"/>
    <x v="3"/>
    <x v="8"/>
    <x v="3"/>
    <x v="7"/>
    <n v="23"/>
    <m/>
    <m/>
    <x v="1"/>
    <n v="1"/>
    <n v="1627"/>
    <n v="15"/>
    <n v="1627"/>
    <s v="COD"/>
    <x v="2"/>
    <n v="129"/>
    <x v="0"/>
    <n v="4"/>
  </r>
  <r>
    <s v="ORD10478"/>
    <d v="2026-03-28T00:00:00"/>
    <x v="4"/>
    <s v="CUST1146"/>
    <s v="Aman"/>
    <s v="Aman"/>
    <x v="6"/>
    <x v="8"/>
    <x v="6"/>
    <x v="17"/>
    <n v="41"/>
    <m/>
    <m/>
    <x v="4"/>
    <n v="1"/>
    <n v="1700"/>
    <n v="10"/>
    <n v="1700"/>
    <s v="COD"/>
    <x v="2"/>
    <n v="129"/>
    <x v="0"/>
    <n v="5"/>
  </r>
  <r>
    <s v="ORD10479"/>
    <d v="2026-05-31T00:00:00"/>
    <x v="2"/>
    <s v="CUST1070"/>
    <s v="Aditya"/>
    <s v="Aditya"/>
    <x v="6"/>
    <x v="8"/>
    <x v="6"/>
    <x v="12"/>
    <n v="41"/>
    <m/>
    <m/>
    <x v="0"/>
    <n v="1"/>
    <n v="46025"/>
    <n v="15"/>
    <n v="46025"/>
    <s v="UPI"/>
    <x v="0"/>
    <n v="200"/>
    <x v="0"/>
    <n v="4"/>
  </r>
  <r>
    <s v="ORD10480"/>
    <d v="2026-03-09T00:00:00"/>
    <x v="4"/>
    <s v="CUST1179"/>
    <s v="Meera"/>
    <s v="Meera"/>
    <x v="1"/>
    <x v="8"/>
    <x v="1"/>
    <x v="10"/>
    <n v="30"/>
    <m/>
    <m/>
    <x v="2"/>
    <n v="1"/>
    <n v="1150"/>
    <n v="20"/>
    <n v="1150"/>
    <s v="UPI"/>
    <x v="0"/>
    <n v="200"/>
    <x v="1"/>
    <n v="0"/>
  </r>
  <r>
    <s v="ORD10481"/>
    <d v="2026-05-08T00:00:00"/>
    <x v="2"/>
    <s v="CUST1099"/>
    <s v="Meera"/>
    <s v="Meera"/>
    <x v="5"/>
    <x v="8"/>
    <x v="5"/>
    <x v="21"/>
    <n v="35"/>
    <m/>
    <m/>
    <x v="0"/>
    <n v="1"/>
    <n v="38853"/>
    <n v="5"/>
    <n v="38853"/>
    <s v="UPI"/>
    <x v="0"/>
    <n v="200"/>
    <x v="0"/>
    <n v="1"/>
  </r>
  <r>
    <s v="ORD10482"/>
    <d v="2026-03-03T00:00:00"/>
    <x v="4"/>
    <s v="CUST1122"/>
    <s v="Rahul"/>
    <s v="Rahul"/>
    <x v="2"/>
    <x v="8"/>
    <x v="2"/>
    <x v="15"/>
    <n v="10"/>
    <m/>
    <m/>
    <x v="2"/>
    <n v="1"/>
    <n v="1050"/>
    <n v="0"/>
    <n v="1050"/>
    <s v="Net Banking"/>
    <x v="3"/>
    <n v="36"/>
    <x v="0"/>
    <n v="2"/>
  </r>
  <r>
    <s v="ORD10483"/>
    <d v="2026-01-17T00:00:00"/>
    <x v="3"/>
    <s v="CUST1016"/>
    <s v="Nikhil"/>
    <s v="Nikhil"/>
    <x v="2"/>
    <x v="8"/>
    <x v="2"/>
    <x v="6"/>
    <n v="33"/>
    <m/>
    <m/>
    <x v="3"/>
    <n v="1"/>
    <n v="1979"/>
    <n v="5"/>
    <n v="1979"/>
    <s v="UPI"/>
    <x v="0"/>
    <n v="200"/>
    <x v="0"/>
    <n v="6"/>
  </r>
  <r>
    <s v="ORD10484"/>
    <d v="2026-05-03T00:00:00"/>
    <x v="2"/>
    <s v="CUST1135"/>
    <s v="Isha"/>
    <s v="Isha"/>
    <x v="5"/>
    <x v="8"/>
    <x v="5"/>
    <x v="2"/>
    <n v="36"/>
    <m/>
    <m/>
    <x v="0"/>
    <n v="2"/>
    <n v="1200"/>
    <n v="10"/>
    <n v="2400"/>
    <s v="UPI"/>
    <x v="0"/>
    <n v="200"/>
    <x v="0"/>
    <n v="3"/>
  </r>
  <r>
    <s v="ORD10485"/>
    <d v="2026-06-21T00:00:00"/>
    <x v="5"/>
    <s v="CUST1081"/>
    <s v="Ananya"/>
    <s v="Ananya"/>
    <x v="7"/>
    <x v="8"/>
    <x v="7"/>
    <x v="9"/>
    <n v="33"/>
    <m/>
    <m/>
    <x v="3"/>
    <n v="3"/>
    <n v="1249"/>
    <n v="15"/>
    <n v="3747"/>
    <s v="Card"/>
    <x v="1"/>
    <n v="135"/>
    <x v="0"/>
    <n v="2"/>
  </r>
  <r>
    <s v="ORD10486"/>
    <d v="2026-05-20T00:00:00"/>
    <x v="2"/>
    <s v="CUST1045"/>
    <s v="Neha"/>
    <s v="Neha"/>
    <x v="0"/>
    <x v="8"/>
    <x v="0"/>
    <x v="11"/>
    <n v="17"/>
    <m/>
    <m/>
    <x v="1"/>
    <n v="1"/>
    <n v="250"/>
    <n v="10"/>
    <n v="250"/>
    <s v="UPI"/>
    <x v="0"/>
    <n v="200"/>
    <x v="0"/>
    <n v="3"/>
  </r>
  <r>
    <s v="ORD10487"/>
    <d v="2026-04-07T00:00:00"/>
    <x v="0"/>
    <s v="CUST1087"/>
    <s v="Kavya"/>
    <s v="Kavya"/>
    <x v="3"/>
    <x v="8"/>
    <x v="3"/>
    <x v="22"/>
    <n v="54"/>
    <m/>
    <m/>
    <x v="4"/>
    <n v="1"/>
    <n v="3100"/>
    <n v="0"/>
    <n v="3100"/>
    <s v="UPI"/>
    <x v="0"/>
    <n v="200"/>
    <x v="0"/>
    <n v="4"/>
  </r>
  <r>
    <s v="ORD10488"/>
    <d v="2026-02-07T00:00:00"/>
    <x v="1"/>
    <s v="CUST1151"/>
    <s v="Simran"/>
    <s v="Simran"/>
    <x v="2"/>
    <x v="8"/>
    <x v="2"/>
    <x v="1"/>
    <n v="20"/>
    <m/>
    <m/>
    <x v="1"/>
    <n v="1"/>
    <n v="352"/>
    <n v="0"/>
    <n v="352"/>
    <s v="UPI"/>
    <x v="0"/>
    <n v="200"/>
    <x v="1"/>
    <n v="0"/>
  </r>
  <r>
    <s v="ORD10489"/>
    <d v="2026-03-12T00:00:00"/>
    <x v="4"/>
    <s v="CUST1103"/>
    <s v="Priya"/>
    <s v="Priya"/>
    <x v="5"/>
    <x v="8"/>
    <x v="5"/>
    <x v="9"/>
    <n v="33"/>
    <m/>
    <m/>
    <x v="3"/>
    <n v="1"/>
    <n v="1030"/>
    <n v="5"/>
    <n v="1030"/>
    <s v="UPI"/>
    <x v="0"/>
    <n v="200"/>
    <x v="0"/>
    <n v="4"/>
  </r>
  <r>
    <s v="ORD10490"/>
    <d v="2026-01-10T00:00:00"/>
    <x v="3"/>
    <s v="CUST1056"/>
    <s v="Nikhil"/>
    <s v="Nikhil"/>
    <x v="3"/>
    <x v="8"/>
    <x v="3"/>
    <x v="20"/>
    <n v="34"/>
    <m/>
    <m/>
    <x v="3"/>
    <n v="1"/>
    <n v="1760"/>
    <n v="0"/>
    <n v="1760"/>
    <s v="UPI"/>
    <x v="0"/>
    <n v="200"/>
    <x v="0"/>
    <n v="5"/>
  </r>
  <r>
    <s v="ORD10491"/>
    <d v="2026-02-10T00:00:00"/>
    <x v="1"/>
    <s v="CUST1114"/>
    <s v="Karan"/>
    <s v="Karan"/>
    <x v="4"/>
    <x v="8"/>
    <x v="4"/>
    <x v="11"/>
    <n v="17"/>
    <m/>
    <m/>
    <x v="1"/>
    <n v="1"/>
    <n v="1066"/>
    <n v="10"/>
    <n v="1066"/>
    <s v="Card"/>
    <x v="1"/>
    <n v="135"/>
    <x v="0"/>
    <n v="1"/>
  </r>
  <r>
    <s v="ORD10492"/>
    <d v="2026-01-13T00:00:00"/>
    <x v="3"/>
    <s v="CUST1110"/>
    <s v="Aditya"/>
    <s v="Aditya"/>
    <x v="2"/>
    <x v="8"/>
    <x v="2"/>
    <x v="9"/>
    <n v="33"/>
    <m/>
    <m/>
    <x v="3"/>
    <n v="2"/>
    <n v="300"/>
    <n v="15"/>
    <n v="600"/>
    <s v="UPI"/>
    <x v="0"/>
    <n v="200"/>
    <x v="0"/>
    <n v="4"/>
  </r>
  <r>
    <s v="ORD10493"/>
    <d v="2026-04-30T00:00:00"/>
    <x v="0"/>
    <s v="CUST1017"/>
    <s v="Riya"/>
    <s v="Riya"/>
    <x v="7"/>
    <x v="8"/>
    <x v="7"/>
    <x v="21"/>
    <n v="35"/>
    <m/>
    <m/>
    <x v="0"/>
    <n v="1"/>
    <n v="2993"/>
    <n v="5"/>
    <n v="2993"/>
    <s v="COD"/>
    <x v="2"/>
    <n v="129"/>
    <x v="0"/>
    <n v="2"/>
  </r>
  <r>
    <s v="ORD10494"/>
    <d v="2026-04-27T00:00:00"/>
    <x v="0"/>
    <s v="CUST1101"/>
    <s v="Ananya"/>
    <s v="Ananya"/>
    <x v="7"/>
    <x v="8"/>
    <x v="7"/>
    <x v="9"/>
    <n v="33"/>
    <m/>
    <m/>
    <x v="3"/>
    <n v="1"/>
    <n v="1030"/>
    <n v="5"/>
    <n v="1030"/>
    <s v="UPI"/>
    <x v="0"/>
    <n v="200"/>
    <x v="0"/>
    <n v="4"/>
  </r>
  <r>
    <s v="ORD10495"/>
    <d v="2026-02-14T00:00:00"/>
    <x v="1"/>
    <s v="CUST1107"/>
    <s v="Kavya"/>
    <s v="Kavya"/>
    <x v="2"/>
    <x v="8"/>
    <x v="2"/>
    <x v="17"/>
    <n v="41"/>
    <m/>
    <m/>
    <x v="4"/>
    <n v="1"/>
    <n v="3300"/>
    <n v="25"/>
    <n v="3300"/>
    <s v="COD"/>
    <x v="2"/>
    <n v="129"/>
    <x v="0"/>
    <n v="5"/>
  </r>
  <r>
    <s v="ORD10496"/>
    <d v="2026-04-18T00:00:00"/>
    <x v="0"/>
    <s v="CUST1131"/>
    <s v="Simran"/>
    <s v="Simran"/>
    <x v="3"/>
    <x v="8"/>
    <x v="3"/>
    <x v="22"/>
    <n v="54"/>
    <m/>
    <m/>
    <x v="4"/>
    <n v="2"/>
    <n v="900"/>
    <n v="0"/>
    <n v="1800"/>
    <s v="Card"/>
    <x v="1"/>
    <n v="135"/>
    <x v="0"/>
    <n v="5"/>
  </r>
  <r>
    <s v="ORD10497"/>
    <d v="2026-02-11T00:00:00"/>
    <x v="1"/>
    <s v="CUST1052"/>
    <s v="Vivek"/>
    <s v="Vivek"/>
    <x v="7"/>
    <x v="8"/>
    <x v="7"/>
    <x v="22"/>
    <n v="54"/>
    <m/>
    <m/>
    <x v="4"/>
    <n v="1"/>
    <n v="2100"/>
    <n v="15"/>
    <n v="2100"/>
    <s v="COD"/>
    <x v="2"/>
    <n v="129"/>
    <x v="0"/>
    <n v="3"/>
  </r>
  <r>
    <s v="ORD10498"/>
    <d v="2026-04-10T00:00:00"/>
    <x v="0"/>
    <s v="CUST1157"/>
    <s v="Riya"/>
    <s v="Riya"/>
    <x v="1"/>
    <x v="8"/>
    <x v="1"/>
    <x v="20"/>
    <n v="34"/>
    <m/>
    <m/>
    <x v="3"/>
    <n v="1"/>
    <n v="1395"/>
    <n v="15"/>
    <n v="1395"/>
    <s v="Card"/>
    <x v="1"/>
    <n v="135"/>
    <x v="0"/>
    <n v="3"/>
  </r>
  <r>
    <s v="ORD10499"/>
    <d v="2026-04-02T00:00:00"/>
    <x v="0"/>
    <s v="CUST1045"/>
    <s v="Neha"/>
    <s v="Neha"/>
    <x v="7"/>
    <x v="8"/>
    <x v="7"/>
    <x v="17"/>
    <n v="41"/>
    <m/>
    <m/>
    <x v="4"/>
    <n v="1"/>
    <n v="1800"/>
    <n v="5"/>
    <n v="1800"/>
    <s v="UPI"/>
    <x v="0"/>
    <n v="200"/>
    <x v="0"/>
    <n v="4"/>
  </r>
  <r>
    <s v="ORD10500"/>
    <d v="2026-03-04T00:00:00"/>
    <x v="4"/>
    <s v="CUST1126"/>
    <s v="Aman"/>
    <s v="Aman"/>
    <x v="3"/>
    <x v="8"/>
    <x v="3"/>
    <x v="9"/>
    <n v="33"/>
    <m/>
    <m/>
    <x v="3"/>
    <n v="1"/>
    <n v="1030"/>
    <n v="15"/>
    <n v="1030"/>
    <s v="UPI"/>
    <x v="0"/>
    <n v="200"/>
    <x v="2"/>
    <n v="6"/>
  </r>
  <r>
    <m/>
    <m/>
    <x v="6"/>
    <m/>
    <m/>
    <m/>
    <x v="9"/>
    <x v="8"/>
    <x v="8"/>
    <x v="25"/>
    <m/>
    <m/>
    <m/>
    <x v="5"/>
    <m/>
    <m/>
    <m/>
    <m/>
    <m/>
    <x v="4"/>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7C64DC-4A9B-4EFD-86E6-646DF0987626}" name="PivotTable15"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G36:H41" firstHeaderRow="1" firstDataRow="1" firstDataCol="1"/>
  <pivotFields count="23">
    <pivotField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dataField="1" showAll="0"/>
    <pivotField showAll="0"/>
    <pivotField axis="axisRow" showAll="0">
      <items count="6">
        <item x="1"/>
        <item x="2"/>
        <item x="3"/>
        <item x="0"/>
        <item x="4"/>
        <item t="default"/>
      </items>
    </pivotField>
    <pivotField showAll="0"/>
    <pivotField showAll="0">
      <items count="5">
        <item x="3"/>
        <item x="1"/>
        <item x="0"/>
        <item x="2"/>
        <item t="default"/>
      </items>
    </pivotField>
    <pivotField showAll="0"/>
  </pivotFields>
  <rowFields count="1">
    <field x="19"/>
  </rowFields>
  <rowItems count="5">
    <i>
      <x/>
    </i>
    <i>
      <x v="1"/>
    </i>
    <i>
      <x v="2"/>
    </i>
    <i>
      <x v="3"/>
    </i>
    <i>
      <x v="4"/>
    </i>
  </rowItems>
  <colItems count="1">
    <i/>
  </colItems>
  <dataFields count="1">
    <dataField name="Sum of Sales Amount" fld="17"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62FB1-EA6E-45BC-A385-2CD830034484}"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0:E117" firstHeaderRow="1" firstDataRow="1" firstDataCol="1" rowPageCount="1" colPageCount="1"/>
  <pivotFields count="23">
    <pivotField dataField="1" showAll="0"/>
    <pivotField showAll="0"/>
    <pivotField showAll="0">
      <items count="8">
        <item x="3"/>
        <item x="1"/>
        <item x="4"/>
        <item x="0"/>
        <item x="2"/>
        <item x="5"/>
        <item h="1" x="6"/>
        <item t="default"/>
      </items>
    </pivotField>
    <pivotField showAll="0"/>
    <pivotField showAll="0"/>
    <pivotField showAll="0"/>
    <pivotField showAll="0">
      <items count="11">
        <item x="8"/>
        <item x="1"/>
        <item x="3"/>
        <item x="6"/>
        <item x="7"/>
        <item x="4"/>
        <item x="5"/>
        <item x="0"/>
        <item x="2"/>
        <item h="1" x="9"/>
        <item t="default"/>
      </items>
    </pivotField>
    <pivotField showAll="0"/>
    <pivotField showAll="0">
      <items count="10">
        <item x="1"/>
        <item x="3"/>
        <item x="6"/>
        <item x="7"/>
        <item x="4"/>
        <item x="5"/>
        <item x="0"/>
        <item x="2"/>
        <item x="8"/>
        <item t="default"/>
      </items>
    </pivotField>
    <pivotField axis="axisRow"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axis="axisPage" multipleItemSelectionAllowed="1" showAll="0">
      <items count="5">
        <item x="1"/>
        <item x="0"/>
        <item x="2"/>
        <item x="3"/>
        <item t="default"/>
      </items>
    </pivotField>
    <pivotField showAll="0"/>
  </pivotFields>
  <rowFields count="1">
    <field x="9"/>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ageFields count="1">
    <pageField fld="21"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BF8912-D649-4A97-8BC8-2980EADCAC57}" name="PivotTable12"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77:E83" firstHeaderRow="1" firstDataRow="1" firstDataCol="1"/>
  <pivotFields count="23">
    <pivotField showAll="0"/>
    <pivotField showAll="0"/>
    <pivotField axis="axisRow" showAll="0">
      <items count="8">
        <item x="3"/>
        <item x="1"/>
        <item x="4"/>
        <item x="0"/>
        <item x="2"/>
        <item x="5"/>
        <item h="1" x="6"/>
        <item t="default"/>
      </items>
    </pivotField>
    <pivotField showAll="0"/>
    <pivotField showAll="0"/>
    <pivotField showAll="0"/>
    <pivotField showAll="0">
      <items count="11">
        <item x="8"/>
        <item x="1"/>
        <item x="3"/>
        <item x="6"/>
        <item x="7"/>
        <item x="4"/>
        <item x="5"/>
        <item x="0"/>
        <item x="2"/>
        <item h="1" x="9"/>
        <item t="default"/>
      </items>
    </pivotField>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dataField="1"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2"/>
  </rowFields>
  <rowItems count="6">
    <i>
      <x/>
    </i>
    <i>
      <x v="1"/>
    </i>
    <i>
      <x v="2"/>
    </i>
    <i>
      <x v="3"/>
    </i>
    <i>
      <x v="4"/>
    </i>
    <i>
      <x v="5"/>
    </i>
  </rowItems>
  <colItems count="1">
    <i/>
  </colItems>
  <dataFields count="1">
    <dataField name="Sum of Sales Amount"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42AD2-A1AC-47C0-BCE1-2E74A61FEFB5}"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2:E72" firstHeaderRow="1" firstDataRow="1" firstDataCol="1"/>
  <pivotFields count="23">
    <pivotField dataField="1" showAll="0"/>
    <pivotField showAll="0"/>
    <pivotField showAll="0"/>
    <pivotField showAll="0"/>
    <pivotField showAll="0"/>
    <pivotField showAll="0"/>
    <pivotField showAll="0">
      <items count="11">
        <item x="8"/>
        <item x="1"/>
        <item x="3"/>
        <item x="6"/>
        <item x="7"/>
        <item x="4"/>
        <item x="5"/>
        <item x="0"/>
        <item x="2"/>
        <item h="1" x="9"/>
        <item t="default"/>
      </items>
    </pivotField>
    <pivotField showAll="0"/>
    <pivotField axis="axisRow"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8"/>
  </rowFields>
  <rowItems count="10">
    <i>
      <x/>
    </i>
    <i>
      <x v="1"/>
    </i>
    <i>
      <x v="2"/>
    </i>
    <i>
      <x v="3"/>
    </i>
    <i>
      <x v="4"/>
    </i>
    <i>
      <x v="5"/>
    </i>
    <i>
      <x v="6"/>
    </i>
    <i>
      <x v="7"/>
    </i>
    <i>
      <x v="8"/>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660059-45C5-478D-9282-E1B5519FFC74}" name="PivotTable10"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47:E56" firstHeaderRow="1" firstDataRow="1" firstDataCol="1"/>
  <pivotFields count="23">
    <pivotField dataField="1" showAll="0"/>
    <pivotField showAll="0"/>
    <pivotField showAll="0"/>
    <pivotField showAll="0"/>
    <pivotField showAll="0"/>
    <pivotField showAll="0"/>
    <pivotField showAll="0">
      <items count="11">
        <item x="8"/>
        <item x="1"/>
        <item x="3"/>
        <item x="6"/>
        <item x="7"/>
        <item x="4"/>
        <item x="5"/>
        <item x="0"/>
        <item x="2"/>
        <item h="1" x="9"/>
        <item t="default"/>
      </items>
    </pivotField>
    <pivotField showAll="0"/>
    <pivotField axis="axisRow"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8"/>
  </rowFields>
  <rowItems count="9">
    <i>
      <x/>
    </i>
    <i>
      <x v="1"/>
    </i>
    <i>
      <x v="2"/>
    </i>
    <i>
      <x v="3"/>
    </i>
    <i>
      <x v="4"/>
    </i>
    <i>
      <x v="5"/>
    </i>
    <i>
      <x v="6"/>
    </i>
    <i>
      <x v="7"/>
    </i>
    <i>
      <x v="8"/>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8BC3F-47D4-45EF-9FF0-4EF6E0C42202}"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8:B85" firstHeaderRow="1" firstDataRow="1" firstDataCol="1"/>
  <pivotFields count="23">
    <pivotField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axis="axisRow"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dataField="1"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9"/>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Sales Amount" fld="17"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7FA230-96C2-483E-8914-788B1749C99E}"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4" firstHeaderRow="1" firstDataRow="1" firstDataCol="1"/>
  <pivotFields count="23">
    <pivotField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axis="axisRow"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showAll="0">
      <items count="5">
        <item x="1"/>
        <item x="0"/>
        <item x="2"/>
        <item x="3"/>
        <item t="default"/>
      </items>
    </pivotField>
    <pivotField dataField="1" showAll="0"/>
  </pivotFields>
  <rowFields count="1">
    <field x="13"/>
  </rowFields>
  <rowItems count="7">
    <i>
      <x/>
    </i>
    <i>
      <x v="1"/>
    </i>
    <i>
      <x v="2"/>
    </i>
    <i>
      <x v="3"/>
    </i>
    <i>
      <x v="4"/>
    </i>
    <i>
      <x v="5"/>
    </i>
    <i t="grand">
      <x/>
    </i>
  </rowItems>
  <colItems count="1">
    <i/>
  </colItems>
  <dataFields count="1">
    <dataField name="Average of Delivery Days" fld="22"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ECE27F-97A6-42DC-8D48-6E21410284B9}" name="PivotTable4"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7:B41" firstHeaderRow="1" firstDataRow="1" firstDataCol="1"/>
  <pivotFields count="23">
    <pivotField dataField="1"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axis="axisRow" showAll="0">
      <items count="5">
        <item x="1"/>
        <item x="0"/>
        <item x="2"/>
        <item x="3"/>
        <item t="default"/>
      </items>
    </pivotField>
    <pivotField showAll="0"/>
  </pivotFields>
  <rowFields count="1">
    <field x="21"/>
  </rowFields>
  <rowItems count="4">
    <i>
      <x/>
    </i>
    <i>
      <x v="1"/>
    </i>
    <i>
      <x v="2"/>
    </i>
    <i>
      <x v="3"/>
    </i>
  </rowItems>
  <colItems count="1">
    <i/>
  </colItems>
  <dataFields count="1">
    <dataField name="Count of Order ID" fld="0"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1" count="1" selected="0">
            <x v="0"/>
          </reference>
        </references>
      </pivotArea>
    </chartFormat>
    <chartFormat chart="4" format="7">
      <pivotArea type="data" outline="0" fieldPosition="0">
        <references count="2">
          <reference field="4294967294" count="1" selected="0">
            <x v="0"/>
          </reference>
          <reference field="21" count="1" selected="0">
            <x v="1"/>
          </reference>
        </references>
      </pivotArea>
    </chartFormat>
    <chartFormat chart="4"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C5064E-9673-494D-A50B-41829AFA2FE3}"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3" firstHeaderRow="1" firstDataRow="1" firstDataCol="1"/>
  <pivotFields count="23">
    <pivotField dataField="1"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showAll="0">
      <items count="7">
        <item x="1"/>
        <item x="0"/>
        <item x="4"/>
        <item x="2"/>
        <item x="3"/>
        <item x="5"/>
        <item t="default"/>
      </items>
    </pivotField>
    <pivotField showAll="0"/>
    <pivotField showAll="0"/>
    <pivotField showAll="0"/>
    <pivotField showAll="0"/>
    <pivotField showAll="0"/>
    <pivotField axis="axisRow" showAll="0">
      <items count="6">
        <item x="1"/>
        <item x="2"/>
        <item x="3"/>
        <item x="0"/>
        <item x="4"/>
        <item t="default"/>
      </items>
    </pivotField>
    <pivotField showAll="0"/>
    <pivotField showAll="0">
      <items count="5">
        <item x="1"/>
        <item x="0"/>
        <item x="2"/>
        <item x="3"/>
        <item t="default"/>
      </items>
    </pivotField>
    <pivotField showAll="0"/>
  </pivotFields>
  <rowFields count="1">
    <field x="19"/>
  </rowFields>
  <rowItems count="6">
    <i>
      <x/>
    </i>
    <i>
      <x v="1"/>
    </i>
    <i>
      <x v="2"/>
    </i>
    <i>
      <x v="3"/>
    </i>
    <i>
      <x v="4"/>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B71388-1960-4C16-B3BE-BEAFCCA03ED4}"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2" firstHeaderRow="1" firstDataRow="1" firstDataCol="1"/>
  <pivotFields count="23">
    <pivotField dataField="1" showAll="0"/>
    <pivotField showAll="0"/>
    <pivotField showAll="0"/>
    <pivotField showAll="0"/>
    <pivotField showAll="0"/>
    <pivotField showAll="0"/>
    <pivotField showAll="0"/>
    <pivotField showAll="0"/>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axis="axisRow" showAll="0">
      <items count="7">
        <item x="1"/>
        <item x="0"/>
        <item x="4"/>
        <item x="2"/>
        <item x="3"/>
        <item x="5"/>
        <item t="default"/>
      </items>
    </pivotField>
    <pivotField showAll="0"/>
    <pivotField showAll="0"/>
    <pivotField showAll="0"/>
    <pivotField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13"/>
  </rowFields>
  <rowItems count="7">
    <i>
      <x/>
    </i>
    <i>
      <x v="1"/>
    </i>
    <i>
      <x v="2"/>
    </i>
    <i>
      <x v="3"/>
    </i>
    <i>
      <x v="4"/>
    </i>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78CBDD-B289-462C-8F54-49EEE617E0E7}" name="PivotTable1" cacheId="2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9" firstHeaderRow="1" firstDataRow="1" firstDataCol="1"/>
  <pivotFields count="23">
    <pivotField showAll="0"/>
    <pivotField showAll="0"/>
    <pivotField showAll="0"/>
    <pivotField showAll="0"/>
    <pivotField showAll="0"/>
    <pivotField showAll="0"/>
    <pivotField showAll="0"/>
    <pivotField showAll="0">
      <items count="10">
        <item x="7"/>
        <item x="1"/>
        <item x="5"/>
        <item x="6"/>
        <item x="0"/>
        <item x="2"/>
        <item x="4"/>
        <item x="3"/>
        <item x="8"/>
        <item t="default"/>
      </items>
    </pivotField>
    <pivotField showAll="0">
      <items count="10">
        <item x="1"/>
        <item x="3"/>
        <item x="6"/>
        <item x="7"/>
        <item x="4"/>
        <item x="5"/>
        <item x="0"/>
        <item x="2"/>
        <item x="8"/>
        <item t="default"/>
      </items>
    </pivotField>
    <pivotField showAll="0">
      <items count="27">
        <item x="16"/>
        <item x="9"/>
        <item x="12"/>
        <item x="14"/>
        <item x="8"/>
        <item x="19"/>
        <item x="10"/>
        <item x="7"/>
        <item x="3"/>
        <item x="1"/>
        <item x="5"/>
        <item x="22"/>
        <item x="2"/>
        <item x="24"/>
        <item x="15"/>
        <item x="0"/>
        <item x="13"/>
        <item x="17"/>
        <item x="11"/>
        <item x="23"/>
        <item x="6"/>
        <item x="4"/>
        <item x="18"/>
        <item x="20"/>
        <item x="21"/>
        <item x="25"/>
        <item t="default"/>
      </items>
    </pivotField>
    <pivotField showAll="0"/>
    <pivotField showAll="0"/>
    <pivotField showAll="0"/>
    <pivotField axis="axisRow" showAll="0">
      <items count="7">
        <item x="1"/>
        <item x="0"/>
        <item x="4"/>
        <item x="2"/>
        <item x="3"/>
        <item x="5"/>
        <item t="default"/>
      </items>
    </pivotField>
    <pivotField showAll="0"/>
    <pivotField showAll="0"/>
    <pivotField showAll="0"/>
    <pivotField dataField="1" showAll="0"/>
    <pivotField showAll="0"/>
    <pivotField showAll="0">
      <items count="6">
        <item x="1"/>
        <item x="2"/>
        <item x="3"/>
        <item x="0"/>
        <item x="4"/>
        <item t="default"/>
      </items>
    </pivotField>
    <pivotField showAll="0"/>
    <pivotField showAll="0">
      <items count="5">
        <item x="1"/>
        <item x="0"/>
        <item x="2"/>
        <item x="3"/>
        <item t="default"/>
      </items>
    </pivotField>
    <pivotField showAll="0"/>
  </pivotFields>
  <rowFields count="1">
    <field x="13"/>
  </rowFields>
  <rowItems count="6">
    <i>
      <x/>
    </i>
    <i>
      <x v="1"/>
    </i>
    <i>
      <x v="2"/>
    </i>
    <i>
      <x v="3"/>
    </i>
    <i>
      <x v="4"/>
    </i>
    <i>
      <x v="5"/>
    </i>
  </rowItems>
  <colItems count="1">
    <i/>
  </colItems>
  <dataFields count="1">
    <dataField name="Sum of Sales Amount" fld="17" baseField="0" baseItem="0"/>
  </dataFields>
  <chartFormats count="3">
    <chartFormat chart="7"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D4582AD-54E4-4C97-B091-7B70B1C216BE}" sourceName="Category">
  <pivotTables>
    <pivotTable tabId="4" name="PivotTable12"/>
    <pivotTable tabId="4" name="PivotTable1"/>
    <pivotTable tabId="4" name="PivotTable10"/>
    <pivotTable tabId="4" name="PivotTable11"/>
    <pivotTable tabId="4" name="PivotTable13"/>
    <pivotTable tabId="4" name="PivotTable15"/>
    <pivotTable tabId="4" name="PivotTable2"/>
    <pivotTable tabId="4" name="PivotTable3"/>
    <pivotTable tabId="4" name="PivotTable4"/>
    <pivotTable tabId="4" name="PivotTable5"/>
    <pivotTable tabId="4" name="PivotTable9"/>
  </pivotTables>
  <data>
    <tabular pivotCacheId="1759061935">
      <items count="6">
        <i x="1" s="1"/>
        <i x="0" s="1"/>
        <i x="4" s="1"/>
        <i x="2" s="1"/>
        <i x="3"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cleaning" xr10:uid="{7A76116D-A3E0-4B51-AFDD-0118A2DE954B}" sourceName="City cleaning">
  <pivotTables>
    <pivotTable tabId="4" name="PivotTable10"/>
    <pivotTable tabId="4" name="PivotTable1"/>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9"/>
  </pivotTables>
  <data>
    <tabular pivotCacheId="1759061935">
      <items count="9">
        <i x="1" s="1"/>
        <i x="3" s="1"/>
        <i x="6" s="1"/>
        <i x="7" s="1"/>
        <i x="4" s="1"/>
        <i x="5" s="1"/>
        <i x="0" s="1"/>
        <i x="2"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0576694-0B39-4D85-8CA8-07FEC702A700}" sourceName="Order Status">
  <pivotTables>
    <pivotTable tabId="4" name="PivotTable4"/>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5"/>
    <pivotTable tabId="4" name="PivotTable9"/>
  </pivotTables>
  <data>
    <tabular pivotCacheId="1759061935">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ayment_Method" xr10:uid="{7F0FB7AC-6CA4-4390-8DA7-F5FE4BC512F1}" sourceName="Clean Payment Method">
  <pivotTables>
    <pivotTable tabId="4" name="PivotTable15"/>
    <pivotTable tabId="4" name="PivotTable1"/>
    <pivotTable tabId="4" name="PivotTable10"/>
    <pivotTable tabId="4" name="PivotTable11"/>
    <pivotTable tabId="4" name="PivotTable12"/>
    <pivotTable tabId="4" name="PivotTable13"/>
    <pivotTable tabId="4" name="PivotTable2"/>
    <pivotTable tabId="4" name="PivotTable3"/>
    <pivotTable tabId="4" name="PivotTable4"/>
    <pivotTable tabId="4" name="PivotTable5"/>
    <pivotTable tabId="4" name="PivotTable9"/>
  </pivotTables>
  <data>
    <tabular pivotCacheId="1759061935">
      <items count="5">
        <i x="1" s="1"/>
        <i x="2" s="1"/>
        <i x="3" s="1"/>
        <i x="0"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2F4B43-BAFD-42F6-BD72-B945A0BFB25D}" sourceName="Product">
  <pivotTables>
    <pivotTable tabId="4" name="PivotTable1"/>
    <pivotTable tabId="4" name="PivotTable10"/>
    <pivotTable tabId="4" name="PivotTable11"/>
    <pivotTable tabId="4" name="PivotTable12"/>
    <pivotTable tabId="4" name="PivotTable13"/>
    <pivotTable tabId="4" name="PivotTable15"/>
    <pivotTable tabId="4" name="PivotTable2"/>
    <pivotTable tabId="4" name="PivotTable3"/>
    <pivotTable tabId="4" name="PivotTable4"/>
    <pivotTable tabId="4" name="PivotTable5"/>
    <pivotTable tabId="4" name="PivotTable9"/>
  </pivotTables>
  <data>
    <tabular pivotCacheId="1759061935">
      <items count="26">
        <i x="16" s="1"/>
        <i x="9" s="1"/>
        <i x="12" s="1"/>
        <i x="14" s="1"/>
        <i x="8" s="1"/>
        <i x="19" s="1"/>
        <i x="10" s="1"/>
        <i x="7" s="1"/>
        <i x="3" s="1"/>
        <i x="1" s="1"/>
        <i x="5" s="1"/>
        <i x="22" s="1"/>
        <i x="2" s="1"/>
        <i x="24" s="1"/>
        <i x="15" s="1"/>
        <i x="0" s="1"/>
        <i x="13" s="1"/>
        <i x="17" s="1"/>
        <i x="11" s="1"/>
        <i x="23" s="1"/>
        <i x="6" s="1"/>
        <i x="4" s="1"/>
        <i x="18" s="1"/>
        <i x="20" s="1"/>
        <i x="21" s="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158EA05-5049-4B25-B42C-D5E5714E4CF7}" cache="Slicer_Category" caption="Category" rowHeight="234950"/>
  <slicer name="City cleaning" xr10:uid="{B9820BFD-2C93-4AEB-9BD1-2554C0D4D3A8}" cache="Slicer_City_cleaning" caption="City cleaning" startItem="6" rowHeight="234950"/>
  <slicer name="Order Status" xr10:uid="{44EED9E8-263C-413F-BDC0-863A3833876E}" cache="Slicer_Order_Status" caption="Order Status" rowHeight="234950"/>
  <slicer name="Clean Payment Method" xr10:uid="{AB414062-8F70-46AD-900D-00D7FB8F8F2E}" cache="Slicer_Clean_Payment_Method" caption="Clean Payment Method" startItem="1" rowHeight="234950"/>
  <slicer name="Product" xr10:uid="{07545047-3102-45DA-BEF5-C868030EFA97}"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selection activeCell="D1" sqref="D1"/>
    </sheetView>
  </sheetViews>
  <sheetFormatPr defaultRowHeight="14.4" x14ac:dyDescent="0.3"/>
  <sheetData>
    <row r="1" spans="1:13" x14ac:dyDescent="0.3">
      <c r="A1" s="1" t="s">
        <v>0</v>
      </c>
      <c r="B1" s="1" t="s">
        <v>1</v>
      </c>
      <c r="C1" s="1" t="s">
        <v>2</v>
      </c>
      <c r="D1" s="23" t="s">
        <v>3</v>
      </c>
      <c r="E1" s="1" t="s">
        <v>4</v>
      </c>
      <c r="F1" s="1" t="s">
        <v>5</v>
      </c>
      <c r="G1" s="1" t="s">
        <v>6</v>
      </c>
      <c r="H1" s="1" t="s">
        <v>7</v>
      </c>
      <c r="I1" s="1" t="s">
        <v>8</v>
      </c>
      <c r="J1" s="1" t="s">
        <v>9</v>
      </c>
      <c r="K1" s="1" t="s">
        <v>10</v>
      </c>
      <c r="L1" s="1" t="s">
        <v>11</v>
      </c>
      <c r="M1" s="1" t="s">
        <v>12</v>
      </c>
    </row>
    <row r="2" spans="1:13" x14ac:dyDescent="0.3">
      <c r="A2" t="s">
        <v>13</v>
      </c>
      <c r="B2" s="2">
        <v>46125</v>
      </c>
      <c r="C2" t="s">
        <v>14</v>
      </c>
      <c r="D2" t="s">
        <v>15</v>
      </c>
      <c r="E2" t="s">
        <v>16</v>
      </c>
      <c r="F2" t="s">
        <v>17</v>
      </c>
      <c r="G2" t="s">
        <v>18</v>
      </c>
      <c r="H2">
        <v>1</v>
      </c>
      <c r="I2">
        <v>37060</v>
      </c>
      <c r="J2">
        <v>0</v>
      </c>
      <c r="K2" t="s">
        <v>19</v>
      </c>
      <c r="L2" t="s">
        <v>20</v>
      </c>
      <c r="M2">
        <v>6</v>
      </c>
    </row>
    <row r="3" spans="1:13" x14ac:dyDescent="0.3">
      <c r="A3" t="s">
        <v>21</v>
      </c>
      <c r="B3" s="2">
        <v>46075</v>
      </c>
      <c r="C3" t="s">
        <v>22</v>
      </c>
      <c r="D3" t="s">
        <v>23</v>
      </c>
      <c r="E3" t="s">
        <v>24</v>
      </c>
      <c r="F3" t="s">
        <v>25</v>
      </c>
      <c r="G3" t="s">
        <v>26</v>
      </c>
      <c r="H3">
        <v>1</v>
      </c>
      <c r="I3">
        <v>1627</v>
      </c>
      <c r="J3">
        <v>5</v>
      </c>
      <c r="K3" t="s">
        <v>27</v>
      </c>
      <c r="L3" t="s">
        <v>20</v>
      </c>
      <c r="M3">
        <v>3</v>
      </c>
    </row>
    <row r="4" spans="1:13" x14ac:dyDescent="0.3">
      <c r="A4" t="s">
        <v>28</v>
      </c>
      <c r="B4" s="2">
        <v>46081</v>
      </c>
      <c r="C4" t="s">
        <v>29</v>
      </c>
      <c r="D4" t="s">
        <v>30</v>
      </c>
      <c r="E4" t="s">
        <v>31</v>
      </c>
      <c r="F4" t="s">
        <v>32</v>
      </c>
      <c r="G4" t="s">
        <v>18</v>
      </c>
      <c r="H4">
        <v>1</v>
      </c>
      <c r="I4">
        <v>28095</v>
      </c>
      <c r="J4">
        <v>0</v>
      </c>
      <c r="K4" t="s">
        <v>27</v>
      </c>
      <c r="L4" t="s">
        <v>20</v>
      </c>
      <c r="M4">
        <v>3</v>
      </c>
    </row>
    <row r="5" spans="1:13" x14ac:dyDescent="0.3">
      <c r="A5" t="s">
        <v>33</v>
      </c>
      <c r="B5" s="2">
        <v>46157</v>
      </c>
      <c r="C5" t="s">
        <v>34</v>
      </c>
      <c r="D5" t="s">
        <v>35</v>
      </c>
      <c r="E5" t="s">
        <v>36</v>
      </c>
      <c r="F5" t="s">
        <v>32</v>
      </c>
      <c r="G5" t="s">
        <v>18</v>
      </c>
      <c r="H5">
        <v>3</v>
      </c>
      <c r="I5">
        <v>44232</v>
      </c>
      <c r="J5">
        <v>15</v>
      </c>
      <c r="K5" t="s">
        <v>19</v>
      </c>
      <c r="L5" t="s">
        <v>20</v>
      </c>
      <c r="M5">
        <v>4</v>
      </c>
    </row>
    <row r="6" spans="1:13" x14ac:dyDescent="0.3">
      <c r="A6" t="s">
        <v>37</v>
      </c>
      <c r="B6" s="2">
        <v>46114</v>
      </c>
      <c r="C6" t="s">
        <v>38</v>
      </c>
      <c r="D6" t="s">
        <v>39</v>
      </c>
      <c r="E6" t="s">
        <v>40</v>
      </c>
      <c r="F6" t="s">
        <v>17</v>
      </c>
      <c r="G6" t="s">
        <v>18</v>
      </c>
      <c r="H6">
        <v>1</v>
      </c>
      <c r="I6">
        <v>13751</v>
      </c>
      <c r="J6">
        <v>20</v>
      </c>
      <c r="K6" t="s">
        <v>19</v>
      </c>
      <c r="L6" t="s">
        <v>20</v>
      </c>
      <c r="M6">
        <v>4</v>
      </c>
    </row>
    <row r="7" spans="1:13" x14ac:dyDescent="0.3">
      <c r="A7" t="s">
        <v>41</v>
      </c>
      <c r="B7" s="2">
        <v>46026</v>
      </c>
      <c r="C7" t="s">
        <v>42</v>
      </c>
      <c r="D7" t="s">
        <v>43</v>
      </c>
      <c r="E7" t="s">
        <v>36</v>
      </c>
      <c r="F7" t="s">
        <v>44</v>
      </c>
      <c r="G7" t="s">
        <v>45</v>
      </c>
      <c r="H7">
        <v>3</v>
      </c>
      <c r="I7">
        <v>700</v>
      </c>
      <c r="J7">
        <v>20</v>
      </c>
      <c r="K7" t="s">
        <v>27</v>
      </c>
      <c r="L7" t="s">
        <v>46</v>
      </c>
      <c r="M7">
        <v>0</v>
      </c>
    </row>
    <row r="8" spans="1:13" x14ac:dyDescent="0.3">
      <c r="A8" t="s">
        <v>47</v>
      </c>
      <c r="B8" s="2">
        <v>46104</v>
      </c>
      <c r="C8" t="s">
        <v>48</v>
      </c>
      <c r="D8" t="s">
        <v>23</v>
      </c>
      <c r="E8" t="s">
        <v>40</v>
      </c>
      <c r="F8" t="s">
        <v>49</v>
      </c>
      <c r="G8" t="s">
        <v>50</v>
      </c>
      <c r="H8">
        <v>1</v>
      </c>
      <c r="I8">
        <v>2271</v>
      </c>
      <c r="J8">
        <v>5</v>
      </c>
      <c r="K8" t="s">
        <v>19</v>
      </c>
      <c r="L8" t="s">
        <v>20</v>
      </c>
      <c r="M8">
        <v>1</v>
      </c>
    </row>
    <row r="9" spans="1:13" x14ac:dyDescent="0.3">
      <c r="A9" t="s">
        <v>51</v>
      </c>
      <c r="B9" s="2">
        <v>46093</v>
      </c>
      <c r="C9" t="s">
        <v>52</v>
      </c>
      <c r="D9" t="s">
        <v>53</v>
      </c>
      <c r="E9" t="s">
        <v>40</v>
      </c>
      <c r="F9" t="s">
        <v>54</v>
      </c>
      <c r="G9" t="s">
        <v>55</v>
      </c>
      <c r="H9">
        <v>2</v>
      </c>
      <c r="I9">
        <v>2300</v>
      </c>
      <c r="J9">
        <v>15</v>
      </c>
      <c r="K9" t="s">
        <v>56</v>
      </c>
      <c r="L9" t="s">
        <v>20</v>
      </c>
      <c r="M9">
        <v>3</v>
      </c>
    </row>
    <row r="10" spans="1:13" x14ac:dyDescent="0.3">
      <c r="A10" t="s">
        <v>57</v>
      </c>
      <c r="B10" s="2">
        <v>46094</v>
      </c>
      <c r="C10" t="s">
        <v>58</v>
      </c>
      <c r="D10" t="s">
        <v>53</v>
      </c>
      <c r="E10" t="s">
        <v>40</v>
      </c>
      <c r="F10" t="s">
        <v>17</v>
      </c>
      <c r="G10" t="s">
        <v>18</v>
      </c>
      <c r="H10">
        <v>1</v>
      </c>
      <c r="I10">
        <v>4786</v>
      </c>
      <c r="J10">
        <v>5</v>
      </c>
      <c r="K10" t="s">
        <v>27</v>
      </c>
      <c r="L10" t="s">
        <v>20</v>
      </c>
      <c r="M10">
        <v>3</v>
      </c>
    </row>
    <row r="11" spans="1:13" x14ac:dyDescent="0.3">
      <c r="A11" t="s">
        <v>59</v>
      </c>
      <c r="B11" s="2">
        <v>46153</v>
      </c>
      <c r="C11" t="s">
        <v>60</v>
      </c>
      <c r="D11" t="s">
        <v>61</v>
      </c>
      <c r="E11" t="s">
        <v>16</v>
      </c>
      <c r="F11" t="s">
        <v>62</v>
      </c>
      <c r="G11" t="s">
        <v>50</v>
      </c>
      <c r="H11">
        <v>2</v>
      </c>
      <c r="I11">
        <v>884</v>
      </c>
      <c r="J11">
        <v>0</v>
      </c>
      <c r="K11" t="s">
        <v>27</v>
      </c>
      <c r="L11" t="s">
        <v>20</v>
      </c>
      <c r="M11">
        <v>3</v>
      </c>
    </row>
    <row r="12" spans="1:13" x14ac:dyDescent="0.3">
      <c r="A12" t="s">
        <v>63</v>
      </c>
      <c r="B12" s="2">
        <v>46154</v>
      </c>
      <c r="C12" t="s">
        <v>64</v>
      </c>
      <c r="D12" t="s">
        <v>39</v>
      </c>
      <c r="E12" t="s">
        <v>65</v>
      </c>
      <c r="F12" t="s">
        <v>17</v>
      </c>
      <c r="G12" t="s">
        <v>18</v>
      </c>
      <c r="H12">
        <v>2</v>
      </c>
      <c r="I12">
        <v>26302</v>
      </c>
      <c r="J12">
        <v>5</v>
      </c>
      <c r="K12" t="s">
        <v>19</v>
      </c>
      <c r="L12" t="s">
        <v>20</v>
      </c>
      <c r="M12">
        <v>5</v>
      </c>
    </row>
    <row r="13" spans="1:13" x14ac:dyDescent="0.3">
      <c r="A13" t="s">
        <v>66</v>
      </c>
      <c r="B13" s="2">
        <v>46050</v>
      </c>
      <c r="C13" t="s">
        <v>67</v>
      </c>
      <c r="D13" t="s">
        <v>53</v>
      </c>
      <c r="E13" t="s">
        <v>65</v>
      </c>
      <c r="F13" t="s">
        <v>68</v>
      </c>
      <c r="G13" t="s">
        <v>26</v>
      </c>
      <c r="H13">
        <v>2</v>
      </c>
      <c r="I13">
        <v>1270</v>
      </c>
      <c r="J13">
        <v>15</v>
      </c>
      <c r="K13" t="s">
        <v>19</v>
      </c>
      <c r="L13" t="s">
        <v>46</v>
      </c>
      <c r="M13">
        <v>0</v>
      </c>
    </row>
    <row r="14" spans="1:13" x14ac:dyDescent="0.3">
      <c r="A14" t="s">
        <v>69</v>
      </c>
      <c r="B14" s="2">
        <v>46150</v>
      </c>
      <c r="C14" t="s">
        <v>70</v>
      </c>
      <c r="D14" t="s">
        <v>71</v>
      </c>
      <c r="E14" t="s">
        <v>16</v>
      </c>
      <c r="F14" t="s">
        <v>72</v>
      </c>
      <c r="G14" t="s">
        <v>45</v>
      </c>
      <c r="H14">
        <v>1</v>
      </c>
      <c r="I14">
        <v>150</v>
      </c>
      <c r="J14">
        <v>5</v>
      </c>
      <c r="K14" t="s">
        <v>56</v>
      </c>
      <c r="L14" t="s">
        <v>20</v>
      </c>
      <c r="M14">
        <v>2</v>
      </c>
    </row>
    <row r="15" spans="1:13" x14ac:dyDescent="0.3">
      <c r="A15" t="s">
        <v>73</v>
      </c>
      <c r="B15" s="2">
        <v>46084</v>
      </c>
      <c r="C15" t="s">
        <v>74</v>
      </c>
      <c r="D15" t="s">
        <v>75</v>
      </c>
      <c r="E15" t="s">
        <v>31</v>
      </c>
      <c r="F15" t="s">
        <v>32</v>
      </c>
      <c r="G15" t="s">
        <v>18</v>
      </c>
      <c r="H15">
        <v>3</v>
      </c>
      <c r="I15">
        <v>42439</v>
      </c>
      <c r="J15">
        <v>5</v>
      </c>
      <c r="K15" t="s">
        <v>27</v>
      </c>
      <c r="L15" t="s">
        <v>20</v>
      </c>
      <c r="M15">
        <v>3</v>
      </c>
    </row>
    <row r="16" spans="1:13" x14ac:dyDescent="0.3">
      <c r="A16" t="s">
        <v>76</v>
      </c>
      <c r="B16" s="2">
        <v>46084</v>
      </c>
      <c r="C16" t="s">
        <v>77</v>
      </c>
      <c r="D16" t="s">
        <v>23</v>
      </c>
      <c r="E16" t="s">
        <v>24</v>
      </c>
      <c r="F16" t="s">
        <v>44</v>
      </c>
      <c r="G16" t="s">
        <v>45</v>
      </c>
      <c r="H16">
        <v>1</v>
      </c>
      <c r="I16">
        <v>250</v>
      </c>
      <c r="J16">
        <v>5</v>
      </c>
      <c r="K16" t="s">
        <v>19</v>
      </c>
      <c r="L16" t="s">
        <v>20</v>
      </c>
      <c r="M16">
        <v>1</v>
      </c>
    </row>
    <row r="17" spans="1:13" x14ac:dyDescent="0.3">
      <c r="A17" t="s">
        <v>78</v>
      </c>
      <c r="B17" s="2">
        <v>46169</v>
      </c>
      <c r="C17" t="s">
        <v>79</v>
      </c>
      <c r="D17" t="s">
        <v>80</v>
      </c>
      <c r="E17" t="s">
        <v>81</v>
      </c>
      <c r="F17" t="s">
        <v>82</v>
      </c>
      <c r="G17" t="s">
        <v>50</v>
      </c>
      <c r="H17">
        <v>1</v>
      </c>
      <c r="I17">
        <v>665</v>
      </c>
      <c r="J17">
        <v>10</v>
      </c>
      <c r="K17" t="s">
        <v>56</v>
      </c>
      <c r="L17" t="s">
        <v>20</v>
      </c>
      <c r="M17">
        <v>4</v>
      </c>
    </row>
    <row r="18" spans="1:13" x14ac:dyDescent="0.3">
      <c r="A18" t="s">
        <v>83</v>
      </c>
      <c r="B18" s="2">
        <v>46046</v>
      </c>
      <c r="C18" t="s">
        <v>84</v>
      </c>
      <c r="D18" t="s">
        <v>35</v>
      </c>
      <c r="E18" t="s">
        <v>40</v>
      </c>
      <c r="F18" t="s">
        <v>85</v>
      </c>
      <c r="G18" t="s">
        <v>45</v>
      </c>
      <c r="H18">
        <v>2</v>
      </c>
      <c r="I18">
        <v>900</v>
      </c>
      <c r="J18">
        <v>0</v>
      </c>
      <c r="K18" t="s">
        <v>27</v>
      </c>
      <c r="L18" t="s">
        <v>20</v>
      </c>
      <c r="M18">
        <v>1</v>
      </c>
    </row>
    <row r="19" spans="1:13" x14ac:dyDescent="0.3">
      <c r="A19" t="s">
        <v>86</v>
      </c>
      <c r="B19" s="2">
        <v>46169</v>
      </c>
      <c r="C19" t="s">
        <v>77</v>
      </c>
      <c r="D19" t="s">
        <v>87</v>
      </c>
      <c r="E19" t="s">
        <v>81</v>
      </c>
      <c r="F19" t="s">
        <v>88</v>
      </c>
      <c r="G19" t="s">
        <v>26</v>
      </c>
      <c r="H19">
        <v>1</v>
      </c>
      <c r="I19">
        <v>556</v>
      </c>
      <c r="J19">
        <v>10</v>
      </c>
      <c r="K19" t="s">
        <v>19</v>
      </c>
      <c r="L19" t="s">
        <v>46</v>
      </c>
      <c r="M19">
        <v>0</v>
      </c>
    </row>
    <row r="20" spans="1:13" x14ac:dyDescent="0.3">
      <c r="A20" t="s">
        <v>89</v>
      </c>
      <c r="B20" s="2">
        <v>46033</v>
      </c>
      <c r="C20" t="s">
        <v>74</v>
      </c>
      <c r="D20" t="s">
        <v>75</v>
      </c>
      <c r="E20" t="s">
        <v>31</v>
      </c>
      <c r="F20" t="s">
        <v>90</v>
      </c>
      <c r="G20" t="s">
        <v>18</v>
      </c>
      <c r="H20">
        <v>1</v>
      </c>
      <c r="I20">
        <v>4786</v>
      </c>
      <c r="J20">
        <v>0</v>
      </c>
      <c r="K20" t="s">
        <v>91</v>
      </c>
      <c r="L20" t="s">
        <v>20</v>
      </c>
      <c r="M20">
        <v>5</v>
      </c>
    </row>
    <row r="21" spans="1:13" x14ac:dyDescent="0.3">
      <c r="A21" t="s">
        <v>92</v>
      </c>
      <c r="B21" s="2">
        <v>46024</v>
      </c>
      <c r="C21" t="s">
        <v>93</v>
      </c>
      <c r="D21" t="s">
        <v>94</v>
      </c>
      <c r="E21" t="s">
        <v>24</v>
      </c>
      <c r="F21" t="s">
        <v>95</v>
      </c>
      <c r="G21" t="s">
        <v>45</v>
      </c>
      <c r="H21">
        <v>3</v>
      </c>
      <c r="I21">
        <v>350</v>
      </c>
      <c r="J21">
        <v>0</v>
      </c>
      <c r="K21" t="s">
        <v>19</v>
      </c>
      <c r="L21" t="s">
        <v>20</v>
      </c>
      <c r="M21">
        <v>2</v>
      </c>
    </row>
    <row r="22" spans="1:13" x14ac:dyDescent="0.3">
      <c r="A22" t="s">
        <v>96</v>
      </c>
      <c r="B22" s="2">
        <v>46142</v>
      </c>
      <c r="C22" t="s">
        <v>97</v>
      </c>
      <c r="D22" t="s">
        <v>98</v>
      </c>
      <c r="E22" t="s">
        <v>65</v>
      </c>
      <c r="F22" t="s">
        <v>72</v>
      </c>
      <c r="G22" t="s">
        <v>45</v>
      </c>
      <c r="H22">
        <v>2</v>
      </c>
      <c r="I22">
        <v>500</v>
      </c>
      <c r="J22">
        <v>10</v>
      </c>
      <c r="K22" t="s">
        <v>27</v>
      </c>
      <c r="L22" t="s">
        <v>20</v>
      </c>
      <c r="M22">
        <v>2</v>
      </c>
    </row>
    <row r="23" spans="1:13" x14ac:dyDescent="0.3">
      <c r="A23" t="s">
        <v>99</v>
      </c>
      <c r="B23" s="2">
        <v>46175</v>
      </c>
      <c r="C23" t="s">
        <v>100</v>
      </c>
      <c r="D23" t="s">
        <v>101</v>
      </c>
      <c r="E23" t="s">
        <v>36</v>
      </c>
      <c r="F23" t="s">
        <v>90</v>
      </c>
      <c r="G23" t="s">
        <v>18</v>
      </c>
      <c r="H23">
        <v>2</v>
      </c>
      <c r="I23">
        <v>2993</v>
      </c>
      <c r="J23">
        <v>10</v>
      </c>
      <c r="K23" t="s">
        <v>19</v>
      </c>
      <c r="L23" t="s">
        <v>20</v>
      </c>
      <c r="M23">
        <v>3</v>
      </c>
    </row>
    <row r="24" spans="1:13" x14ac:dyDescent="0.3">
      <c r="A24" t="s">
        <v>102</v>
      </c>
      <c r="B24" s="2">
        <v>46150</v>
      </c>
      <c r="C24" t="s">
        <v>79</v>
      </c>
      <c r="D24" t="s">
        <v>80</v>
      </c>
      <c r="E24" t="s">
        <v>81</v>
      </c>
      <c r="F24" t="s">
        <v>68</v>
      </c>
      <c r="G24" t="s">
        <v>26</v>
      </c>
      <c r="H24">
        <v>1</v>
      </c>
      <c r="I24">
        <v>1015</v>
      </c>
      <c r="J24">
        <v>5</v>
      </c>
      <c r="K24" t="s">
        <v>19</v>
      </c>
      <c r="L24" t="s">
        <v>20</v>
      </c>
      <c r="M24">
        <v>1</v>
      </c>
    </row>
    <row r="25" spans="1:13" x14ac:dyDescent="0.3">
      <c r="A25" t="s">
        <v>103</v>
      </c>
      <c r="B25" s="2">
        <v>46131</v>
      </c>
      <c r="C25" t="s">
        <v>104</v>
      </c>
      <c r="D25" t="s">
        <v>35</v>
      </c>
      <c r="E25" t="s">
        <v>40</v>
      </c>
      <c r="F25" t="s">
        <v>85</v>
      </c>
      <c r="G25" t="s">
        <v>45</v>
      </c>
      <c r="H25">
        <v>1</v>
      </c>
      <c r="I25">
        <v>200</v>
      </c>
      <c r="J25">
        <v>10</v>
      </c>
      <c r="K25" t="s">
        <v>27</v>
      </c>
      <c r="L25" t="s">
        <v>20</v>
      </c>
      <c r="M25">
        <v>1</v>
      </c>
    </row>
    <row r="26" spans="1:13" x14ac:dyDescent="0.3">
      <c r="A26" t="s">
        <v>105</v>
      </c>
      <c r="B26" s="2">
        <v>46057</v>
      </c>
      <c r="C26" t="s">
        <v>106</v>
      </c>
      <c r="D26" t="s">
        <v>71</v>
      </c>
      <c r="E26" t="s">
        <v>16</v>
      </c>
      <c r="F26" t="s">
        <v>32</v>
      </c>
      <c r="G26" t="s">
        <v>18</v>
      </c>
      <c r="H26">
        <v>1</v>
      </c>
      <c r="I26">
        <v>49611</v>
      </c>
      <c r="J26">
        <v>5</v>
      </c>
      <c r="K26" t="s">
        <v>56</v>
      </c>
      <c r="L26" t="s">
        <v>20</v>
      </c>
      <c r="M26">
        <v>1</v>
      </c>
    </row>
    <row r="27" spans="1:13" x14ac:dyDescent="0.3">
      <c r="A27" t="s">
        <v>107</v>
      </c>
      <c r="B27" s="2">
        <v>46046</v>
      </c>
      <c r="C27" t="s">
        <v>108</v>
      </c>
      <c r="D27" t="s">
        <v>109</v>
      </c>
      <c r="E27" t="s">
        <v>31</v>
      </c>
      <c r="F27" t="s">
        <v>62</v>
      </c>
      <c r="G27" t="s">
        <v>50</v>
      </c>
      <c r="H27">
        <v>2</v>
      </c>
      <c r="I27">
        <v>2271</v>
      </c>
      <c r="J27">
        <v>5</v>
      </c>
      <c r="K27" t="s">
        <v>19</v>
      </c>
      <c r="L27" t="s">
        <v>20</v>
      </c>
      <c r="M27">
        <v>2</v>
      </c>
    </row>
    <row r="28" spans="1:13" x14ac:dyDescent="0.3">
      <c r="A28" t="s">
        <v>110</v>
      </c>
      <c r="B28" s="2">
        <v>46076</v>
      </c>
      <c r="C28" t="s">
        <v>111</v>
      </c>
      <c r="D28" t="s">
        <v>71</v>
      </c>
      <c r="E28" t="s">
        <v>81</v>
      </c>
      <c r="F28" t="s">
        <v>82</v>
      </c>
      <c r="G28" t="s">
        <v>50</v>
      </c>
      <c r="H28">
        <v>4</v>
      </c>
      <c r="I28">
        <v>1322</v>
      </c>
      <c r="J28">
        <v>0</v>
      </c>
      <c r="K28" t="s">
        <v>27</v>
      </c>
      <c r="L28" t="s">
        <v>20</v>
      </c>
      <c r="M28">
        <v>3</v>
      </c>
    </row>
    <row r="29" spans="1:13" x14ac:dyDescent="0.3">
      <c r="A29" t="s">
        <v>112</v>
      </c>
      <c r="B29" s="2">
        <v>46126</v>
      </c>
      <c r="C29" t="s">
        <v>52</v>
      </c>
      <c r="D29" t="s">
        <v>53</v>
      </c>
      <c r="E29" t="s">
        <v>81</v>
      </c>
      <c r="F29" t="s">
        <v>113</v>
      </c>
      <c r="G29" t="s">
        <v>26</v>
      </c>
      <c r="H29">
        <v>2</v>
      </c>
      <c r="I29">
        <v>709</v>
      </c>
      <c r="J29">
        <v>15</v>
      </c>
      <c r="K29" t="s">
        <v>56</v>
      </c>
      <c r="L29" t="s">
        <v>46</v>
      </c>
      <c r="M29">
        <v>0</v>
      </c>
    </row>
    <row r="30" spans="1:13" x14ac:dyDescent="0.3">
      <c r="A30" t="s">
        <v>114</v>
      </c>
      <c r="B30" s="2">
        <v>46079</v>
      </c>
      <c r="C30" t="s">
        <v>115</v>
      </c>
      <c r="D30" t="s">
        <v>116</v>
      </c>
      <c r="E30" t="s">
        <v>117</v>
      </c>
      <c r="F30" t="s">
        <v>32</v>
      </c>
      <c r="G30" t="s">
        <v>18</v>
      </c>
      <c r="H30">
        <v>1</v>
      </c>
      <c r="I30">
        <v>33474</v>
      </c>
      <c r="J30">
        <v>5</v>
      </c>
      <c r="K30" t="s">
        <v>19</v>
      </c>
      <c r="L30" t="s">
        <v>20</v>
      </c>
      <c r="M30">
        <v>3</v>
      </c>
    </row>
    <row r="31" spans="1:13" x14ac:dyDescent="0.3">
      <c r="A31" t="s">
        <v>118</v>
      </c>
      <c r="B31" s="2">
        <v>46147</v>
      </c>
      <c r="C31" t="s">
        <v>119</v>
      </c>
      <c r="D31" t="s">
        <v>101</v>
      </c>
      <c r="E31" t="s">
        <v>16</v>
      </c>
      <c r="F31" t="s">
        <v>72</v>
      </c>
      <c r="G31" t="s">
        <v>45</v>
      </c>
      <c r="H31">
        <v>1</v>
      </c>
      <c r="I31">
        <v>1100</v>
      </c>
      <c r="J31">
        <v>5</v>
      </c>
      <c r="K31" t="s">
        <v>27</v>
      </c>
      <c r="L31" t="s">
        <v>20</v>
      </c>
      <c r="M31">
        <v>1</v>
      </c>
    </row>
    <row r="32" spans="1:13" x14ac:dyDescent="0.3">
      <c r="A32" t="s">
        <v>120</v>
      </c>
      <c r="B32" s="2">
        <v>46075</v>
      </c>
      <c r="C32" t="s">
        <v>121</v>
      </c>
      <c r="D32" t="s">
        <v>109</v>
      </c>
      <c r="E32" t="s">
        <v>31</v>
      </c>
      <c r="F32" t="s">
        <v>122</v>
      </c>
      <c r="G32" t="s">
        <v>45</v>
      </c>
      <c r="H32">
        <v>1</v>
      </c>
      <c r="I32">
        <v>400</v>
      </c>
      <c r="J32">
        <v>10</v>
      </c>
      <c r="K32" t="s">
        <v>27</v>
      </c>
      <c r="L32" t="s">
        <v>20</v>
      </c>
      <c r="M32">
        <v>1</v>
      </c>
    </row>
    <row r="33" spans="1:13" x14ac:dyDescent="0.3">
      <c r="A33" t="s">
        <v>123</v>
      </c>
      <c r="B33" s="2">
        <v>46142</v>
      </c>
      <c r="C33" t="s">
        <v>77</v>
      </c>
      <c r="D33" t="s">
        <v>23</v>
      </c>
      <c r="E33" t="s">
        <v>31</v>
      </c>
      <c r="F33" t="s">
        <v>124</v>
      </c>
      <c r="G33" t="s">
        <v>55</v>
      </c>
      <c r="H33">
        <v>1</v>
      </c>
      <c r="I33">
        <v>900</v>
      </c>
      <c r="J33">
        <v>0</v>
      </c>
      <c r="K33" t="s">
        <v>27</v>
      </c>
      <c r="L33" t="s">
        <v>20</v>
      </c>
      <c r="M33">
        <v>5</v>
      </c>
    </row>
    <row r="34" spans="1:13" x14ac:dyDescent="0.3">
      <c r="A34" t="s">
        <v>125</v>
      </c>
      <c r="B34" s="2">
        <v>46080</v>
      </c>
      <c r="C34" t="s">
        <v>126</v>
      </c>
      <c r="D34" t="s">
        <v>61</v>
      </c>
      <c r="E34" t="s">
        <v>65</v>
      </c>
      <c r="F34" t="s">
        <v>127</v>
      </c>
      <c r="G34" t="s">
        <v>55</v>
      </c>
      <c r="H34">
        <v>3</v>
      </c>
      <c r="I34">
        <v>1200</v>
      </c>
      <c r="J34">
        <v>10</v>
      </c>
      <c r="K34" t="s">
        <v>27</v>
      </c>
      <c r="L34" t="s">
        <v>20</v>
      </c>
      <c r="M34">
        <v>7</v>
      </c>
    </row>
    <row r="35" spans="1:13" x14ac:dyDescent="0.3">
      <c r="A35" t="s">
        <v>128</v>
      </c>
      <c r="B35" s="2">
        <v>46176</v>
      </c>
      <c r="C35" t="s">
        <v>129</v>
      </c>
      <c r="D35" t="s">
        <v>35</v>
      </c>
      <c r="E35" t="s">
        <v>31</v>
      </c>
      <c r="F35" t="s">
        <v>68</v>
      </c>
      <c r="G35" t="s">
        <v>26</v>
      </c>
      <c r="H35">
        <v>1</v>
      </c>
      <c r="I35">
        <v>1678</v>
      </c>
      <c r="J35">
        <v>0</v>
      </c>
      <c r="K35" t="s">
        <v>19</v>
      </c>
      <c r="L35" t="s">
        <v>20</v>
      </c>
      <c r="M35">
        <v>2</v>
      </c>
    </row>
    <row r="36" spans="1:13" x14ac:dyDescent="0.3">
      <c r="A36" t="s">
        <v>130</v>
      </c>
      <c r="B36" s="2">
        <v>46198</v>
      </c>
      <c r="C36" t="s">
        <v>104</v>
      </c>
      <c r="D36" t="s">
        <v>35</v>
      </c>
      <c r="E36" t="s">
        <v>16</v>
      </c>
      <c r="F36" t="s">
        <v>131</v>
      </c>
      <c r="G36" t="s">
        <v>55</v>
      </c>
      <c r="H36">
        <v>1</v>
      </c>
      <c r="I36">
        <v>2700</v>
      </c>
      <c r="J36">
        <v>20</v>
      </c>
      <c r="K36" t="s">
        <v>56</v>
      </c>
      <c r="L36" t="s">
        <v>20</v>
      </c>
      <c r="M36">
        <v>9</v>
      </c>
    </row>
    <row r="37" spans="1:13" x14ac:dyDescent="0.3">
      <c r="A37" t="s">
        <v>132</v>
      </c>
      <c r="B37" s="2">
        <v>46038</v>
      </c>
      <c r="C37" t="s">
        <v>133</v>
      </c>
      <c r="D37" t="s">
        <v>35</v>
      </c>
      <c r="E37" t="s">
        <v>36</v>
      </c>
      <c r="F37" t="s">
        <v>49</v>
      </c>
      <c r="G37" t="s">
        <v>50</v>
      </c>
      <c r="H37">
        <v>1</v>
      </c>
      <c r="I37">
        <v>2271</v>
      </c>
      <c r="J37">
        <v>20</v>
      </c>
      <c r="K37" t="s">
        <v>27</v>
      </c>
      <c r="L37" t="s">
        <v>20</v>
      </c>
      <c r="M37">
        <v>4</v>
      </c>
    </row>
    <row r="38" spans="1:13" x14ac:dyDescent="0.3">
      <c r="A38" t="s">
        <v>134</v>
      </c>
      <c r="B38" s="2">
        <v>46055</v>
      </c>
      <c r="C38" t="s">
        <v>119</v>
      </c>
      <c r="D38" t="s">
        <v>101</v>
      </c>
      <c r="E38" t="s">
        <v>40</v>
      </c>
      <c r="F38" t="s">
        <v>135</v>
      </c>
      <c r="G38" t="s">
        <v>50</v>
      </c>
      <c r="H38">
        <v>1</v>
      </c>
      <c r="I38">
        <v>1103</v>
      </c>
      <c r="J38">
        <v>25</v>
      </c>
      <c r="K38" t="s">
        <v>56</v>
      </c>
      <c r="L38" t="s">
        <v>20</v>
      </c>
      <c r="M38">
        <v>3</v>
      </c>
    </row>
    <row r="39" spans="1:13" x14ac:dyDescent="0.3">
      <c r="A39" t="s">
        <v>136</v>
      </c>
      <c r="B39" s="2">
        <v>46115</v>
      </c>
      <c r="C39" t="s">
        <v>137</v>
      </c>
      <c r="D39" t="s">
        <v>71</v>
      </c>
      <c r="E39" t="s">
        <v>16</v>
      </c>
      <c r="F39" t="s">
        <v>90</v>
      </c>
      <c r="G39" t="s">
        <v>18</v>
      </c>
      <c r="H39">
        <v>1</v>
      </c>
      <c r="I39">
        <v>33474</v>
      </c>
      <c r="J39">
        <v>0</v>
      </c>
      <c r="K39" t="s">
        <v>27</v>
      </c>
      <c r="L39" t="s">
        <v>20</v>
      </c>
      <c r="M39">
        <v>4</v>
      </c>
    </row>
    <row r="40" spans="1:13" x14ac:dyDescent="0.3">
      <c r="A40" t="s">
        <v>138</v>
      </c>
      <c r="B40" s="2">
        <v>46142</v>
      </c>
      <c r="C40" t="s">
        <v>60</v>
      </c>
      <c r="D40" t="s">
        <v>61</v>
      </c>
      <c r="E40" t="s">
        <v>81</v>
      </c>
      <c r="F40" t="s">
        <v>68</v>
      </c>
      <c r="G40" t="s">
        <v>26</v>
      </c>
      <c r="H40">
        <v>1</v>
      </c>
      <c r="I40">
        <v>403</v>
      </c>
      <c r="J40">
        <v>15</v>
      </c>
      <c r="K40" t="s">
        <v>56</v>
      </c>
      <c r="L40" t="s">
        <v>139</v>
      </c>
      <c r="M40">
        <v>1</v>
      </c>
    </row>
    <row r="41" spans="1:13" x14ac:dyDescent="0.3">
      <c r="A41" t="s">
        <v>140</v>
      </c>
      <c r="B41" s="2">
        <v>46174</v>
      </c>
      <c r="C41" t="s">
        <v>74</v>
      </c>
      <c r="D41" t="s">
        <v>75</v>
      </c>
      <c r="E41" t="s">
        <v>65</v>
      </c>
      <c r="F41" t="s">
        <v>141</v>
      </c>
      <c r="G41" t="s">
        <v>50</v>
      </c>
      <c r="H41">
        <v>2</v>
      </c>
      <c r="I41">
        <v>1468</v>
      </c>
      <c r="J41">
        <v>15</v>
      </c>
      <c r="K41" t="s">
        <v>19</v>
      </c>
      <c r="L41" t="s">
        <v>20</v>
      </c>
      <c r="M41">
        <v>2</v>
      </c>
    </row>
    <row r="42" spans="1:13" x14ac:dyDescent="0.3">
      <c r="A42" t="s">
        <v>142</v>
      </c>
      <c r="B42" s="2">
        <v>46084</v>
      </c>
      <c r="C42" t="s">
        <v>143</v>
      </c>
      <c r="D42" t="s">
        <v>101</v>
      </c>
      <c r="E42" t="s">
        <v>40</v>
      </c>
      <c r="F42" t="s">
        <v>131</v>
      </c>
      <c r="G42" t="s">
        <v>55</v>
      </c>
      <c r="H42">
        <v>1</v>
      </c>
      <c r="I42">
        <v>3100</v>
      </c>
      <c r="J42">
        <v>0</v>
      </c>
      <c r="K42" t="s">
        <v>91</v>
      </c>
      <c r="L42" t="s">
        <v>20</v>
      </c>
      <c r="M42">
        <v>5</v>
      </c>
    </row>
    <row r="43" spans="1:13" x14ac:dyDescent="0.3">
      <c r="A43" t="s">
        <v>144</v>
      </c>
      <c r="B43" s="2">
        <v>46074</v>
      </c>
      <c r="C43" t="s">
        <v>145</v>
      </c>
      <c r="D43" t="s">
        <v>30</v>
      </c>
      <c r="E43" t="s">
        <v>117</v>
      </c>
      <c r="F43" t="s">
        <v>135</v>
      </c>
      <c r="G43" t="s">
        <v>50</v>
      </c>
      <c r="H43">
        <v>1</v>
      </c>
      <c r="I43">
        <v>592</v>
      </c>
      <c r="J43">
        <v>5</v>
      </c>
      <c r="K43" t="s">
        <v>27</v>
      </c>
      <c r="L43" t="s">
        <v>20</v>
      </c>
      <c r="M43">
        <v>3</v>
      </c>
    </row>
    <row r="44" spans="1:13" x14ac:dyDescent="0.3">
      <c r="A44" t="s">
        <v>146</v>
      </c>
      <c r="B44" s="2">
        <v>46166</v>
      </c>
      <c r="C44" t="s">
        <v>126</v>
      </c>
      <c r="D44" t="s">
        <v>61</v>
      </c>
      <c r="E44" t="s">
        <v>16</v>
      </c>
      <c r="F44" t="s">
        <v>90</v>
      </c>
      <c r="G44" t="s">
        <v>18</v>
      </c>
      <c r="H44">
        <v>1</v>
      </c>
      <c r="I44">
        <v>46025</v>
      </c>
      <c r="J44">
        <v>10</v>
      </c>
      <c r="K44" t="s">
        <v>27</v>
      </c>
      <c r="L44" t="s">
        <v>20</v>
      </c>
      <c r="M44">
        <v>2</v>
      </c>
    </row>
    <row r="45" spans="1:13" x14ac:dyDescent="0.3">
      <c r="A45" t="s">
        <v>147</v>
      </c>
      <c r="B45" s="2">
        <v>46031</v>
      </c>
      <c r="C45" t="s">
        <v>148</v>
      </c>
      <c r="D45" t="s">
        <v>149</v>
      </c>
      <c r="E45" t="s">
        <v>16</v>
      </c>
      <c r="F45" t="s">
        <v>135</v>
      </c>
      <c r="G45" t="s">
        <v>50</v>
      </c>
      <c r="H45">
        <v>1</v>
      </c>
      <c r="I45">
        <v>665</v>
      </c>
      <c r="J45">
        <v>15</v>
      </c>
      <c r="K45" t="s">
        <v>19</v>
      </c>
      <c r="L45" t="s">
        <v>20</v>
      </c>
      <c r="M45">
        <v>3</v>
      </c>
    </row>
    <row r="46" spans="1:13" x14ac:dyDescent="0.3">
      <c r="A46" t="s">
        <v>150</v>
      </c>
      <c r="B46" s="2">
        <v>46027</v>
      </c>
      <c r="C46" t="s">
        <v>151</v>
      </c>
      <c r="D46" t="s">
        <v>98</v>
      </c>
      <c r="E46" t="s">
        <v>40</v>
      </c>
      <c r="F46" t="s">
        <v>17</v>
      </c>
      <c r="G46" t="s">
        <v>18</v>
      </c>
      <c r="H46">
        <v>3</v>
      </c>
      <c r="I46">
        <v>1200</v>
      </c>
      <c r="J46">
        <v>5</v>
      </c>
      <c r="K46" t="s">
        <v>56</v>
      </c>
      <c r="L46" t="s">
        <v>20</v>
      </c>
      <c r="M46">
        <v>5</v>
      </c>
    </row>
    <row r="47" spans="1:13" x14ac:dyDescent="0.3">
      <c r="A47" t="s">
        <v>152</v>
      </c>
      <c r="B47" s="2">
        <v>46130</v>
      </c>
      <c r="C47" t="s">
        <v>153</v>
      </c>
      <c r="D47" t="s">
        <v>80</v>
      </c>
      <c r="E47" t="s">
        <v>117</v>
      </c>
      <c r="F47" t="s">
        <v>124</v>
      </c>
      <c r="G47" t="s">
        <v>55</v>
      </c>
      <c r="H47">
        <v>1</v>
      </c>
      <c r="I47">
        <v>2300</v>
      </c>
      <c r="J47">
        <v>10</v>
      </c>
      <c r="K47" t="s">
        <v>19</v>
      </c>
      <c r="L47" t="s">
        <v>20</v>
      </c>
      <c r="M47">
        <v>3</v>
      </c>
    </row>
    <row r="48" spans="1:13" x14ac:dyDescent="0.3">
      <c r="A48" t="s">
        <v>154</v>
      </c>
      <c r="B48" s="2">
        <v>46170</v>
      </c>
      <c r="C48" t="s">
        <v>155</v>
      </c>
      <c r="D48" t="s">
        <v>39</v>
      </c>
      <c r="E48" t="s">
        <v>36</v>
      </c>
      <c r="F48" t="s">
        <v>156</v>
      </c>
      <c r="G48" t="s">
        <v>18</v>
      </c>
      <c r="H48">
        <v>2</v>
      </c>
      <c r="I48">
        <v>11958</v>
      </c>
      <c r="J48">
        <v>10</v>
      </c>
      <c r="K48" t="s">
        <v>91</v>
      </c>
      <c r="L48" t="s">
        <v>20</v>
      </c>
      <c r="M48">
        <v>4</v>
      </c>
    </row>
    <row r="49" spans="1:13" x14ac:dyDescent="0.3">
      <c r="A49" t="s">
        <v>157</v>
      </c>
      <c r="B49" s="2">
        <v>46139</v>
      </c>
      <c r="C49" t="s">
        <v>84</v>
      </c>
      <c r="D49" t="s">
        <v>35</v>
      </c>
      <c r="E49" t="s">
        <v>24</v>
      </c>
      <c r="F49" t="s">
        <v>17</v>
      </c>
      <c r="G49" t="s">
        <v>18</v>
      </c>
      <c r="H49">
        <v>1</v>
      </c>
      <c r="I49">
        <v>51404</v>
      </c>
      <c r="J49">
        <v>0</v>
      </c>
      <c r="K49" t="s">
        <v>91</v>
      </c>
      <c r="L49" t="s">
        <v>46</v>
      </c>
      <c r="M49">
        <v>0</v>
      </c>
    </row>
    <row r="50" spans="1:13" x14ac:dyDescent="0.3">
      <c r="A50" t="s">
        <v>158</v>
      </c>
      <c r="B50" s="2">
        <v>46169</v>
      </c>
      <c r="C50" t="s">
        <v>129</v>
      </c>
      <c r="D50" t="s">
        <v>35</v>
      </c>
      <c r="E50" t="s">
        <v>24</v>
      </c>
      <c r="F50" t="s">
        <v>49</v>
      </c>
      <c r="G50" t="s">
        <v>50</v>
      </c>
      <c r="H50">
        <v>2</v>
      </c>
      <c r="I50">
        <v>1468</v>
      </c>
      <c r="J50">
        <v>10</v>
      </c>
      <c r="K50" t="s">
        <v>27</v>
      </c>
      <c r="L50" t="s">
        <v>20</v>
      </c>
      <c r="M50">
        <v>3</v>
      </c>
    </row>
    <row r="51" spans="1:13" x14ac:dyDescent="0.3">
      <c r="A51" t="s">
        <v>159</v>
      </c>
      <c r="B51" s="2">
        <v>46034</v>
      </c>
      <c r="C51" t="s">
        <v>160</v>
      </c>
      <c r="D51" t="s">
        <v>161</v>
      </c>
      <c r="E51" t="s">
        <v>24</v>
      </c>
      <c r="F51" t="s">
        <v>32</v>
      </c>
      <c r="G51" t="s">
        <v>18</v>
      </c>
      <c r="H51">
        <v>1</v>
      </c>
      <c r="I51">
        <v>42439</v>
      </c>
      <c r="J51">
        <v>5</v>
      </c>
      <c r="K51" t="s">
        <v>19</v>
      </c>
      <c r="L51" t="s">
        <v>20</v>
      </c>
      <c r="M51">
        <v>5</v>
      </c>
    </row>
    <row r="52" spans="1:13" x14ac:dyDescent="0.3">
      <c r="A52" t="s">
        <v>162</v>
      </c>
      <c r="B52" s="2">
        <v>46063</v>
      </c>
      <c r="C52" t="s">
        <v>163</v>
      </c>
      <c r="D52" t="s">
        <v>39</v>
      </c>
      <c r="E52" t="s">
        <v>31</v>
      </c>
      <c r="F52" t="s">
        <v>127</v>
      </c>
      <c r="G52" t="s">
        <v>55</v>
      </c>
      <c r="H52">
        <v>1</v>
      </c>
      <c r="I52">
        <v>1300</v>
      </c>
      <c r="J52">
        <v>15</v>
      </c>
      <c r="K52" t="s">
        <v>27</v>
      </c>
      <c r="L52" t="s">
        <v>20</v>
      </c>
      <c r="M52">
        <v>2</v>
      </c>
    </row>
    <row r="53" spans="1:13" x14ac:dyDescent="0.3">
      <c r="A53" t="s">
        <v>164</v>
      </c>
      <c r="B53" s="2">
        <v>46057</v>
      </c>
      <c r="C53" t="s">
        <v>165</v>
      </c>
      <c r="D53" t="s">
        <v>80</v>
      </c>
      <c r="E53" t="s">
        <v>16</v>
      </c>
      <c r="F53" t="s">
        <v>95</v>
      </c>
      <c r="G53" t="s">
        <v>45</v>
      </c>
      <c r="H53">
        <v>3</v>
      </c>
      <c r="I53">
        <v>850</v>
      </c>
      <c r="J53">
        <v>0</v>
      </c>
      <c r="K53" t="s">
        <v>56</v>
      </c>
      <c r="L53" t="s">
        <v>20</v>
      </c>
      <c r="M53">
        <v>1</v>
      </c>
    </row>
    <row r="54" spans="1:13" x14ac:dyDescent="0.3">
      <c r="A54" t="s">
        <v>166</v>
      </c>
      <c r="B54" s="2">
        <v>46087</v>
      </c>
      <c r="C54" t="s">
        <v>167</v>
      </c>
      <c r="D54" t="s">
        <v>161</v>
      </c>
      <c r="E54" t="s">
        <v>40</v>
      </c>
      <c r="F54" t="s">
        <v>85</v>
      </c>
      <c r="G54" t="s">
        <v>45</v>
      </c>
      <c r="H54">
        <v>2</v>
      </c>
      <c r="I54">
        <v>1150</v>
      </c>
      <c r="J54">
        <v>5</v>
      </c>
      <c r="K54" t="s">
        <v>56</v>
      </c>
      <c r="L54" t="s">
        <v>20</v>
      </c>
      <c r="M54">
        <v>1</v>
      </c>
    </row>
    <row r="55" spans="1:13" x14ac:dyDescent="0.3">
      <c r="A55" t="s">
        <v>168</v>
      </c>
      <c r="B55" s="2">
        <v>46120</v>
      </c>
      <c r="C55" t="s">
        <v>169</v>
      </c>
      <c r="D55" t="s">
        <v>75</v>
      </c>
      <c r="E55" t="s">
        <v>36</v>
      </c>
      <c r="F55" t="s">
        <v>17</v>
      </c>
      <c r="G55" t="s">
        <v>18</v>
      </c>
      <c r="H55">
        <v>1</v>
      </c>
      <c r="I55">
        <v>28095</v>
      </c>
      <c r="J55">
        <v>10</v>
      </c>
      <c r="K55" t="s">
        <v>27</v>
      </c>
      <c r="L55" t="s">
        <v>20</v>
      </c>
      <c r="M55">
        <v>4</v>
      </c>
    </row>
    <row r="56" spans="1:13" x14ac:dyDescent="0.3">
      <c r="A56" t="s">
        <v>170</v>
      </c>
      <c r="B56" s="2">
        <v>46187</v>
      </c>
      <c r="C56" t="s">
        <v>74</v>
      </c>
      <c r="D56" t="s">
        <v>75</v>
      </c>
      <c r="E56" t="s">
        <v>81</v>
      </c>
      <c r="F56" t="s">
        <v>131</v>
      </c>
      <c r="G56" t="s">
        <v>55</v>
      </c>
      <c r="H56">
        <v>1</v>
      </c>
      <c r="I56">
        <v>1800</v>
      </c>
      <c r="J56">
        <v>5</v>
      </c>
      <c r="K56" t="s">
        <v>19</v>
      </c>
      <c r="L56" t="s">
        <v>20</v>
      </c>
      <c r="M56">
        <v>6</v>
      </c>
    </row>
    <row r="57" spans="1:13" x14ac:dyDescent="0.3">
      <c r="A57" t="s">
        <v>171</v>
      </c>
      <c r="B57" s="2">
        <v>46054</v>
      </c>
      <c r="C57" t="s">
        <v>172</v>
      </c>
      <c r="D57" t="s">
        <v>71</v>
      </c>
      <c r="E57" t="s">
        <v>36</v>
      </c>
      <c r="F57" t="s">
        <v>124</v>
      </c>
      <c r="G57" t="s">
        <v>55</v>
      </c>
      <c r="H57">
        <v>1</v>
      </c>
      <c r="I57">
        <v>3000</v>
      </c>
      <c r="J57">
        <v>15</v>
      </c>
      <c r="K57" t="s">
        <v>27</v>
      </c>
      <c r="L57" t="s">
        <v>20</v>
      </c>
      <c r="M57">
        <v>7</v>
      </c>
    </row>
    <row r="58" spans="1:13" x14ac:dyDescent="0.3">
      <c r="A58" t="s">
        <v>173</v>
      </c>
      <c r="B58" s="2">
        <v>46167</v>
      </c>
      <c r="C58" t="s">
        <v>79</v>
      </c>
      <c r="D58" t="s">
        <v>80</v>
      </c>
      <c r="E58" t="s">
        <v>36</v>
      </c>
      <c r="F58" t="s">
        <v>17</v>
      </c>
      <c r="G58" t="s">
        <v>18</v>
      </c>
      <c r="H58">
        <v>1</v>
      </c>
      <c r="I58">
        <v>37060</v>
      </c>
      <c r="J58">
        <v>15</v>
      </c>
      <c r="K58" t="s">
        <v>56</v>
      </c>
      <c r="L58" t="s">
        <v>20</v>
      </c>
      <c r="M58">
        <v>6</v>
      </c>
    </row>
    <row r="59" spans="1:13" x14ac:dyDescent="0.3">
      <c r="A59" t="s">
        <v>174</v>
      </c>
      <c r="B59" s="2">
        <v>46072</v>
      </c>
      <c r="C59" t="s">
        <v>29</v>
      </c>
      <c r="D59" t="s">
        <v>30</v>
      </c>
      <c r="E59" t="s">
        <v>117</v>
      </c>
      <c r="F59" t="s">
        <v>54</v>
      </c>
      <c r="G59" t="s">
        <v>55</v>
      </c>
      <c r="H59">
        <v>3</v>
      </c>
      <c r="I59">
        <v>2300</v>
      </c>
      <c r="J59">
        <v>5</v>
      </c>
      <c r="K59" t="s">
        <v>27</v>
      </c>
      <c r="L59" t="s">
        <v>20</v>
      </c>
      <c r="M59">
        <v>7</v>
      </c>
    </row>
    <row r="60" spans="1:13" x14ac:dyDescent="0.3">
      <c r="A60" t="s">
        <v>175</v>
      </c>
      <c r="B60" s="2">
        <v>46103</v>
      </c>
      <c r="C60" t="s">
        <v>176</v>
      </c>
      <c r="D60" t="s">
        <v>39</v>
      </c>
      <c r="E60" t="s">
        <v>24</v>
      </c>
      <c r="F60" t="s">
        <v>156</v>
      </c>
      <c r="G60" t="s">
        <v>18</v>
      </c>
      <c r="H60">
        <v>2</v>
      </c>
      <c r="I60">
        <v>17337</v>
      </c>
      <c r="J60">
        <v>0</v>
      </c>
      <c r="K60" t="s">
        <v>19</v>
      </c>
      <c r="L60" t="s">
        <v>20</v>
      </c>
      <c r="M60">
        <v>2</v>
      </c>
    </row>
    <row r="61" spans="1:13" x14ac:dyDescent="0.3">
      <c r="A61" t="s">
        <v>177</v>
      </c>
      <c r="B61" s="2">
        <v>46065</v>
      </c>
      <c r="C61" t="s">
        <v>60</v>
      </c>
      <c r="D61" t="s">
        <v>61</v>
      </c>
      <c r="E61" t="s">
        <v>31</v>
      </c>
      <c r="F61" t="s">
        <v>156</v>
      </c>
      <c r="G61" t="s">
        <v>18</v>
      </c>
      <c r="H61">
        <v>1</v>
      </c>
      <c r="I61">
        <v>40646</v>
      </c>
      <c r="J61">
        <v>0</v>
      </c>
      <c r="K61" t="s">
        <v>19</v>
      </c>
      <c r="L61" t="s">
        <v>20</v>
      </c>
      <c r="M61">
        <v>3</v>
      </c>
    </row>
    <row r="62" spans="1:13" x14ac:dyDescent="0.3">
      <c r="A62" t="s">
        <v>178</v>
      </c>
      <c r="B62" s="2">
        <v>46177</v>
      </c>
      <c r="C62" t="s">
        <v>179</v>
      </c>
      <c r="D62" t="s">
        <v>23</v>
      </c>
      <c r="E62" t="s">
        <v>81</v>
      </c>
      <c r="F62" t="s">
        <v>90</v>
      </c>
      <c r="G62" t="s">
        <v>18</v>
      </c>
      <c r="H62">
        <v>1</v>
      </c>
      <c r="I62">
        <v>33474</v>
      </c>
      <c r="J62">
        <v>0</v>
      </c>
      <c r="K62" t="s">
        <v>19</v>
      </c>
      <c r="L62" t="s">
        <v>20</v>
      </c>
      <c r="M62">
        <v>2</v>
      </c>
    </row>
    <row r="63" spans="1:13" x14ac:dyDescent="0.3">
      <c r="A63" t="s">
        <v>180</v>
      </c>
      <c r="B63" s="2">
        <v>46092</v>
      </c>
      <c r="C63" t="s">
        <v>181</v>
      </c>
      <c r="D63" t="s">
        <v>61</v>
      </c>
      <c r="E63" t="s">
        <v>36</v>
      </c>
      <c r="F63" t="s">
        <v>124</v>
      </c>
      <c r="G63" t="s">
        <v>55</v>
      </c>
      <c r="H63">
        <v>1</v>
      </c>
      <c r="I63">
        <v>1800</v>
      </c>
      <c r="J63">
        <v>10</v>
      </c>
      <c r="K63" t="s">
        <v>27</v>
      </c>
      <c r="L63" t="s">
        <v>20</v>
      </c>
      <c r="M63">
        <v>5</v>
      </c>
    </row>
    <row r="64" spans="1:13" x14ac:dyDescent="0.3">
      <c r="A64" t="s">
        <v>182</v>
      </c>
      <c r="B64" s="2">
        <v>46116</v>
      </c>
      <c r="C64" t="s">
        <v>183</v>
      </c>
      <c r="D64" t="s">
        <v>184</v>
      </c>
      <c r="E64" t="s">
        <v>36</v>
      </c>
      <c r="F64" t="s">
        <v>127</v>
      </c>
      <c r="G64" t="s">
        <v>55</v>
      </c>
      <c r="H64">
        <v>2</v>
      </c>
      <c r="I64">
        <v>3000</v>
      </c>
      <c r="J64">
        <v>0</v>
      </c>
      <c r="K64" t="s">
        <v>27</v>
      </c>
      <c r="L64" t="s">
        <v>139</v>
      </c>
      <c r="M64">
        <v>6</v>
      </c>
    </row>
    <row r="65" spans="1:13" x14ac:dyDescent="0.3">
      <c r="A65" t="s">
        <v>185</v>
      </c>
      <c r="B65" s="2">
        <v>46149</v>
      </c>
      <c r="C65" t="s">
        <v>145</v>
      </c>
      <c r="D65" t="s">
        <v>30</v>
      </c>
      <c r="E65" t="s">
        <v>65</v>
      </c>
      <c r="F65" t="s">
        <v>32</v>
      </c>
      <c r="G65" t="s">
        <v>18</v>
      </c>
      <c r="H65">
        <v>1</v>
      </c>
      <c r="I65">
        <v>40646</v>
      </c>
      <c r="J65">
        <v>15</v>
      </c>
      <c r="K65" t="s">
        <v>19</v>
      </c>
      <c r="L65" t="s">
        <v>20</v>
      </c>
      <c r="M65">
        <v>4</v>
      </c>
    </row>
    <row r="66" spans="1:13" x14ac:dyDescent="0.3">
      <c r="A66" t="s">
        <v>186</v>
      </c>
      <c r="B66" s="2">
        <v>46129</v>
      </c>
      <c r="C66" t="s">
        <v>187</v>
      </c>
      <c r="D66" t="s">
        <v>98</v>
      </c>
      <c r="E66" t="s">
        <v>40</v>
      </c>
      <c r="F66" t="s">
        <v>90</v>
      </c>
      <c r="G66" t="s">
        <v>18</v>
      </c>
      <c r="H66">
        <v>1</v>
      </c>
      <c r="I66">
        <v>10165</v>
      </c>
      <c r="J66">
        <v>5</v>
      </c>
      <c r="K66" t="s">
        <v>19</v>
      </c>
      <c r="L66" t="s">
        <v>20</v>
      </c>
      <c r="M66">
        <v>2</v>
      </c>
    </row>
    <row r="67" spans="1:13" x14ac:dyDescent="0.3">
      <c r="A67" t="s">
        <v>188</v>
      </c>
      <c r="B67" s="2">
        <v>46039</v>
      </c>
      <c r="C67" t="s">
        <v>189</v>
      </c>
      <c r="D67" t="s">
        <v>30</v>
      </c>
      <c r="E67" t="s">
        <v>36</v>
      </c>
      <c r="F67" t="s">
        <v>190</v>
      </c>
      <c r="G67" t="s">
        <v>55</v>
      </c>
      <c r="H67">
        <v>3</v>
      </c>
      <c r="I67">
        <v>2900</v>
      </c>
      <c r="J67">
        <v>10</v>
      </c>
      <c r="K67" t="s">
        <v>27</v>
      </c>
      <c r="L67" t="s">
        <v>20</v>
      </c>
      <c r="M67">
        <v>3</v>
      </c>
    </row>
    <row r="68" spans="1:13" x14ac:dyDescent="0.3">
      <c r="A68" t="s">
        <v>191</v>
      </c>
      <c r="B68" s="2">
        <v>46056</v>
      </c>
      <c r="C68" t="s">
        <v>192</v>
      </c>
      <c r="D68" t="s">
        <v>98</v>
      </c>
      <c r="E68" t="s">
        <v>117</v>
      </c>
      <c r="F68" t="s">
        <v>141</v>
      </c>
      <c r="G68" t="s">
        <v>50</v>
      </c>
      <c r="H68">
        <v>1</v>
      </c>
      <c r="I68">
        <v>1614</v>
      </c>
      <c r="J68">
        <v>5</v>
      </c>
      <c r="K68" t="s">
        <v>56</v>
      </c>
      <c r="L68" t="s">
        <v>20</v>
      </c>
      <c r="M68">
        <v>3</v>
      </c>
    </row>
    <row r="69" spans="1:13" x14ac:dyDescent="0.3">
      <c r="A69" t="s">
        <v>193</v>
      </c>
      <c r="B69" s="2">
        <v>46131</v>
      </c>
      <c r="C69" t="s">
        <v>67</v>
      </c>
      <c r="D69" t="s">
        <v>53</v>
      </c>
      <c r="E69" t="s">
        <v>31</v>
      </c>
      <c r="F69" t="s">
        <v>95</v>
      </c>
      <c r="G69" t="s">
        <v>45</v>
      </c>
      <c r="H69">
        <v>1</v>
      </c>
      <c r="I69">
        <v>1200</v>
      </c>
      <c r="J69">
        <v>5</v>
      </c>
      <c r="K69" t="s">
        <v>27</v>
      </c>
      <c r="L69" t="s">
        <v>20</v>
      </c>
      <c r="M69">
        <v>2</v>
      </c>
    </row>
    <row r="70" spans="1:13" x14ac:dyDescent="0.3">
      <c r="A70" t="s">
        <v>194</v>
      </c>
      <c r="B70" s="2">
        <v>46026</v>
      </c>
      <c r="C70" t="s">
        <v>195</v>
      </c>
      <c r="D70" t="s">
        <v>75</v>
      </c>
      <c r="E70" t="s">
        <v>36</v>
      </c>
      <c r="F70" t="s">
        <v>85</v>
      </c>
      <c r="G70" t="s">
        <v>45</v>
      </c>
      <c r="H70">
        <v>2</v>
      </c>
      <c r="I70">
        <v>1350</v>
      </c>
      <c r="J70">
        <v>10</v>
      </c>
      <c r="K70" t="s">
        <v>27</v>
      </c>
      <c r="L70" t="s">
        <v>20</v>
      </c>
      <c r="M70">
        <v>3</v>
      </c>
    </row>
    <row r="71" spans="1:13" x14ac:dyDescent="0.3">
      <c r="A71" t="s">
        <v>196</v>
      </c>
      <c r="B71" s="2">
        <v>46092</v>
      </c>
      <c r="C71" t="s">
        <v>197</v>
      </c>
      <c r="D71" t="s">
        <v>43</v>
      </c>
      <c r="E71" t="s">
        <v>24</v>
      </c>
      <c r="F71" t="s">
        <v>88</v>
      </c>
      <c r="G71" t="s">
        <v>26</v>
      </c>
      <c r="H71">
        <v>2</v>
      </c>
      <c r="I71">
        <v>250</v>
      </c>
      <c r="J71">
        <v>10</v>
      </c>
      <c r="K71" t="s">
        <v>56</v>
      </c>
      <c r="L71" t="s">
        <v>20</v>
      </c>
      <c r="M71">
        <v>3</v>
      </c>
    </row>
    <row r="72" spans="1:13" x14ac:dyDescent="0.3">
      <c r="A72" t="s">
        <v>198</v>
      </c>
      <c r="B72" s="2">
        <v>46099</v>
      </c>
      <c r="C72" t="s">
        <v>199</v>
      </c>
      <c r="D72" t="s">
        <v>15</v>
      </c>
      <c r="E72" t="s">
        <v>40</v>
      </c>
      <c r="F72" t="s">
        <v>90</v>
      </c>
      <c r="G72" t="s">
        <v>18</v>
      </c>
      <c r="H72">
        <v>1</v>
      </c>
      <c r="I72">
        <v>42439</v>
      </c>
      <c r="J72">
        <v>0</v>
      </c>
      <c r="K72" t="s">
        <v>91</v>
      </c>
      <c r="L72" t="s">
        <v>20</v>
      </c>
      <c r="M72">
        <v>2</v>
      </c>
    </row>
    <row r="73" spans="1:13" x14ac:dyDescent="0.3">
      <c r="A73" t="s">
        <v>200</v>
      </c>
      <c r="B73" s="2">
        <v>46106</v>
      </c>
      <c r="C73" t="s">
        <v>126</v>
      </c>
      <c r="D73" t="s">
        <v>61</v>
      </c>
      <c r="E73" t="s">
        <v>31</v>
      </c>
      <c r="F73" t="s">
        <v>49</v>
      </c>
      <c r="G73" t="s">
        <v>50</v>
      </c>
      <c r="H73">
        <v>1</v>
      </c>
      <c r="I73">
        <v>884</v>
      </c>
      <c r="J73">
        <v>10</v>
      </c>
      <c r="K73" t="s">
        <v>19</v>
      </c>
      <c r="L73" t="s">
        <v>20</v>
      </c>
      <c r="M73">
        <v>4</v>
      </c>
    </row>
    <row r="74" spans="1:13" x14ac:dyDescent="0.3">
      <c r="A74" t="s">
        <v>201</v>
      </c>
      <c r="B74" s="2">
        <v>46057</v>
      </c>
      <c r="C74" t="s">
        <v>202</v>
      </c>
      <c r="D74" t="s">
        <v>109</v>
      </c>
      <c r="E74" t="s">
        <v>65</v>
      </c>
      <c r="F74" t="s">
        <v>88</v>
      </c>
      <c r="G74" t="s">
        <v>26</v>
      </c>
      <c r="H74">
        <v>1</v>
      </c>
      <c r="I74">
        <v>1678</v>
      </c>
      <c r="J74">
        <v>15</v>
      </c>
      <c r="K74" t="s">
        <v>19</v>
      </c>
      <c r="L74" t="s">
        <v>20</v>
      </c>
      <c r="M74">
        <v>3</v>
      </c>
    </row>
    <row r="75" spans="1:13" x14ac:dyDescent="0.3">
      <c r="A75" t="s">
        <v>203</v>
      </c>
      <c r="B75" s="2">
        <v>46027</v>
      </c>
      <c r="C75" t="s">
        <v>155</v>
      </c>
      <c r="D75" t="s">
        <v>39</v>
      </c>
      <c r="E75" t="s">
        <v>31</v>
      </c>
      <c r="F75" t="s">
        <v>141</v>
      </c>
      <c r="G75" t="s">
        <v>50</v>
      </c>
      <c r="H75">
        <v>2</v>
      </c>
      <c r="I75">
        <v>2052</v>
      </c>
      <c r="J75">
        <v>5</v>
      </c>
      <c r="K75" t="s">
        <v>56</v>
      </c>
      <c r="L75" t="s">
        <v>20</v>
      </c>
      <c r="M75">
        <v>3</v>
      </c>
    </row>
    <row r="76" spans="1:13" x14ac:dyDescent="0.3">
      <c r="A76" t="s">
        <v>204</v>
      </c>
      <c r="B76" s="2">
        <v>46119</v>
      </c>
      <c r="C76" t="s">
        <v>205</v>
      </c>
      <c r="D76" t="s">
        <v>98</v>
      </c>
      <c r="E76" t="s">
        <v>81</v>
      </c>
      <c r="F76" t="s">
        <v>49</v>
      </c>
      <c r="G76" t="s">
        <v>50</v>
      </c>
      <c r="H76">
        <v>3</v>
      </c>
      <c r="I76">
        <v>1468</v>
      </c>
      <c r="J76">
        <v>5</v>
      </c>
      <c r="K76" t="s">
        <v>27</v>
      </c>
      <c r="L76" t="s">
        <v>46</v>
      </c>
      <c r="M76">
        <v>0</v>
      </c>
    </row>
    <row r="77" spans="1:13" x14ac:dyDescent="0.3">
      <c r="A77" t="s">
        <v>206</v>
      </c>
      <c r="B77" s="2">
        <v>46061</v>
      </c>
      <c r="C77" t="s">
        <v>207</v>
      </c>
      <c r="D77" t="s">
        <v>53</v>
      </c>
      <c r="E77" t="s">
        <v>36</v>
      </c>
      <c r="F77" t="s">
        <v>85</v>
      </c>
      <c r="G77" t="s">
        <v>45</v>
      </c>
      <c r="H77">
        <v>2</v>
      </c>
      <c r="I77">
        <v>500</v>
      </c>
      <c r="J77">
        <v>0</v>
      </c>
      <c r="K77" t="s">
        <v>56</v>
      </c>
      <c r="L77" t="s">
        <v>20</v>
      </c>
      <c r="M77">
        <v>1</v>
      </c>
    </row>
    <row r="78" spans="1:13" x14ac:dyDescent="0.3">
      <c r="A78" t="s">
        <v>208</v>
      </c>
      <c r="B78" s="2">
        <v>46186</v>
      </c>
      <c r="C78" t="s">
        <v>165</v>
      </c>
      <c r="D78" t="s">
        <v>80</v>
      </c>
      <c r="E78" t="s">
        <v>24</v>
      </c>
      <c r="F78" t="s">
        <v>113</v>
      </c>
      <c r="G78" t="s">
        <v>26</v>
      </c>
      <c r="H78">
        <v>2</v>
      </c>
      <c r="I78">
        <v>454</v>
      </c>
      <c r="J78">
        <v>0</v>
      </c>
      <c r="K78" t="s">
        <v>19</v>
      </c>
      <c r="L78" t="s">
        <v>20</v>
      </c>
      <c r="M78">
        <v>5</v>
      </c>
    </row>
    <row r="79" spans="1:13" x14ac:dyDescent="0.3">
      <c r="A79" t="s">
        <v>209</v>
      </c>
      <c r="B79" s="2">
        <v>46060</v>
      </c>
      <c r="C79" t="s">
        <v>210</v>
      </c>
      <c r="D79" t="s">
        <v>101</v>
      </c>
      <c r="E79" t="s">
        <v>40</v>
      </c>
      <c r="F79" t="s">
        <v>131</v>
      </c>
      <c r="G79" t="s">
        <v>55</v>
      </c>
      <c r="H79">
        <v>1</v>
      </c>
      <c r="I79">
        <v>2800</v>
      </c>
      <c r="J79">
        <v>10</v>
      </c>
      <c r="K79" t="s">
        <v>27</v>
      </c>
      <c r="L79" t="s">
        <v>20</v>
      </c>
      <c r="M79">
        <v>4</v>
      </c>
    </row>
    <row r="80" spans="1:13" x14ac:dyDescent="0.3">
      <c r="A80" t="s">
        <v>211</v>
      </c>
      <c r="B80" s="2">
        <v>46098</v>
      </c>
      <c r="C80" t="s">
        <v>212</v>
      </c>
      <c r="D80" t="s">
        <v>94</v>
      </c>
      <c r="E80" t="s">
        <v>16</v>
      </c>
      <c r="F80" t="s">
        <v>213</v>
      </c>
      <c r="G80" t="s">
        <v>18</v>
      </c>
      <c r="H80">
        <v>1</v>
      </c>
      <c r="I80">
        <v>33474</v>
      </c>
      <c r="J80">
        <v>15</v>
      </c>
      <c r="K80" t="s">
        <v>27</v>
      </c>
      <c r="L80" t="s">
        <v>20</v>
      </c>
      <c r="M80">
        <v>3</v>
      </c>
    </row>
    <row r="81" spans="1:13" x14ac:dyDescent="0.3">
      <c r="A81" t="s">
        <v>214</v>
      </c>
      <c r="B81" s="2">
        <v>46045</v>
      </c>
      <c r="C81" t="s">
        <v>215</v>
      </c>
      <c r="D81" t="s">
        <v>43</v>
      </c>
      <c r="E81" t="s">
        <v>40</v>
      </c>
      <c r="F81" t="s">
        <v>122</v>
      </c>
      <c r="G81" t="s">
        <v>45</v>
      </c>
      <c r="H81">
        <v>1</v>
      </c>
      <c r="I81">
        <v>1400</v>
      </c>
      <c r="J81">
        <v>10</v>
      </c>
      <c r="K81" t="s">
        <v>27</v>
      </c>
      <c r="L81" t="s">
        <v>20</v>
      </c>
      <c r="M81">
        <v>2</v>
      </c>
    </row>
    <row r="82" spans="1:13" x14ac:dyDescent="0.3">
      <c r="A82" t="s">
        <v>216</v>
      </c>
      <c r="B82" s="2">
        <v>46193</v>
      </c>
      <c r="C82" t="s">
        <v>217</v>
      </c>
      <c r="D82" t="s">
        <v>23</v>
      </c>
      <c r="E82" t="s">
        <v>24</v>
      </c>
      <c r="F82" t="s">
        <v>141</v>
      </c>
      <c r="G82" t="s">
        <v>50</v>
      </c>
      <c r="H82">
        <v>3</v>
      </c>
      <c r="I82">
        <v>592</v>
      </c>
      <c r="J82">
        <v>15</v>
      </c>
      <c r="K82" t="s">
        <v>19</v>
      </c>
      <c r="L82" t="s">
        <v>20</v>
      </c>
      <c r="M82">
        <v>2</v>
      </c>
    </row>
    <row r="83" spans="1:13" x14ac:dyDescent="0.3">
      <c r="A83" t="s">
        <v>218</v>
      </c>
      <c r="B83" s="2">
        <v>46062</v>
      </c>
      <c r="C83" t="s">
        <v>219</v>
      </c>
      <c r="D83" t="s">
        <v>161</v>
      </c>
      <c r="E83" t="s">
        <v>16</v>
      </c>
      <c r="F83" t="s">
        <v>72</v>
      </c>
      <c r="G83" t="s">
        <v>45</v>
      </c>
      <c r="H83">
        <v>1</v>
      </c>
      <c r="I83">
        <v>800</v>
      </c>
      <c r="J83">
        <v>0</v>
      </c>
      <c r="K83" t="s">
        <v>19</v>
      </c>
      <c r="L83" t="s">
        <v>20</v>
      </c>
      <c r="M83">
        <v>4</v>
      </c>
    </row>
    <row r="84" spans="1:13" x14ac:dyDescent="0.3">
      <c r="A84" t="s">
        <v>220</v>
      </c>
      <c r="B84" s="2">
        <v>46085</v>
      </c>
      <c r="C84" t="s">
        <v>108</v>
      </c>
      <c r="D84" t="s">
        <v>109</v>
      </c>
      <c r="E84" t="s">
        <v>31</v>
      </c>
      <c r="F84" t="s">
        <v>17</v>
      </c>
      <c r="G84" t="s">
        <v>18</v>
      </c>
      <c r="H84">
        <v>1</v>
      </c>
      <c r="I84">
        <v>26302</v>
      </c>
      <c r="J84">
        <v>5</v>
      </c>
      <c r="K84" t="s">
        <v>56</v>
      </c>
      <c r="L84" t="s">
        <v>20</v>
      </c>
      <c r="M84">
        <v>2</v>
      </c>
    </row>
    <row r="85" spans="1:13" x14ac:dyDescent="0.3">
      <c r="A85" t="s">
        <v>221</v>
      </c>
      <c r="B85" s="2">
        <v>46112</v>
      </c>
      <c r="C85" t="s">
        <v>205</v>
      </c>
      <c r="D85" t="s">
        <v>98</v>
      </c>
      <c r="E85" t="s">
        <v>222</v>
      </c>
      <c r="F85" t="s">
        <v>124</v>
      </c>
      <c r="G85" t="s">
        <v>55</v>
      </c>
      <c r="H85">
        <v>2</v>
      </c>
      <c r="I85">
        <v>3100</v>
      </c>
      <c r="J85">
        <v>10</v>
      </c>
      <c r="K85" t="s">
        <v>19</v>
      </c>
      <c r="L85" t="s">
        <v>20</v>
      </c>
      <c r="M85">
        <v>2</v>
      </c>
    </row>
    <row r="86" spans="1:13" x14ac:dyDescent="0.3">
      <c r="A86" t="s">
        <v>223</v>
      </c>
      <c r="B86" s="2">
        <v>46174</v>
      </c>
      <c r="C86" t="s">
        <v>224</v>
      </c>
      <c r="D86" t="s">
        <v>161</v>
      </c>
      <c r="E86" t="s">
        <v>117</v>
      </c>
      <c r="F86" t="s">
        <v>17</v>
      </c>
      <c r="G86" t="s">
        <v>18</v>
      </c>
      <c r="H86">
        <v>1</v>
      </c>
      <c r="I86">
        <v>42439</v>
      </c>
      <c r="J86">
        <v>15</v>
      </c>
      <c r="K86" t="s">
        <v>19</v>
      </c>
      <c r="L86" t="s">
        <v>20</v>
      </c>
      <c r="M86">
        <v>4</v>
      </c>
    </row>
    <row r="87" spans="1:13" x14ac:dyDescent="0.3">
      <c r="A87" t="s">
        <v>225</v>
      </c>
      <c r="B87" s="2">
        <v>46106</v>
      </c>
      <c r="C87" t="s">
        <v>205</v>
      </c>
      <c r="D87" t="s">
        <v>98</v>
      </c>
      <c r="E87" t="s">
        <v>40</v>
      </c>
      <c r="F87" t="s">
        <v>141</v>
      </c>
      <c r="G87" t="s">
        <v>50</v>
      </c>
      <c r="H87">
        <v>4</v>
      </c>
      <c r="I87">
        <v>2490</v>
      </c>
      <c r="J87">
        <v>10</v>
      </c>
      <c r="K87" t="s">
        <v>27</v>
      </c>
      <c r="L87" t="s">
        <v>20</v>
      </c>
      <c r="M87">
        <v>2</v>
      </c>
    </row>
    <row r="88" spans="1:13" x14ac:dyDescent="0.3">
      <c r="A88" t="s">
        <v>226</v>
      </c>
      <c r="B88" s="2">
        <v>46145</v>
      </c>
      <c r="C88" t="s">
        <v>74</v>
      </c>
      <c r="D88" t="s">
        <v>75</v>
      </c>
      <c r="E88" t="s">
        <v>16</v>
      </c>
      <c r="F88" t="s">
        <v>131</v>
      </c>
      <c r="G88" t="s">
        <v>55</v>
      </c>
      <c r="H88">
        <v>1</v>
      </c>
      <c r="I88">
        <v>2100</v>
      </c>
      <c r="J88">
        <v>10</v>
      </c>
      <c r="K88" t="s">
        <v>27</v>
      </c>
      <c r="L88" t="s">
        <v>20</v>
      </c>
      <c r="M88">
        <v>4</v>
      </c>
    </row>
    <row r="89" spans="1:13" x14ac:dyDescent="0.3">
      <c r="A89" t="s">
        <v>227</v>
      </c>
      <c r="B89" s="2">
        <v>46136</v>
      </c>
      <c r="C89" t="s">
        <v>228</v>
      </c>
      <c r="D89" t="s">
        <v>15</v>
      </c>
      <c r="E89" t="s">
        <v>40</v>
      </c>
      <c r="F89" t="s">
        <v>88</v>
      </c>
      <c r="G89" t="s">
        <v>26</v>
      </c>
      <c r="H89">
        <v>1</v>
      </c>
      <c r="I89">
        <v>250</v>
      </c>
      <c r="J89">
        <v>0</v>
      </c>
      <c r="K89" t="s">
        <v>56</v>
      </c>
      <c r="L89" t="s">
        <v>20</v>
      </c>
      <c r="M89">
        <v>4</v>
      </c>
    </row>
    <row r="90" spans="1:13" x14ac:dyDescent="0.3">
      <c r="A90" t="s">
        <v>229</v>
      </c>
      <c r="B90" s="2">
        <v>46184</v>
      </c>
      <c r="C90" t="s">
        <v>230</v>
      </c>
      <c r="D90" t="s">
        <v>231</v>
      </c>
      <c r="E90" t="s">
        <v>40</v>
      </c>
      <c r="F90" t="s">
        <v>32</v>
      </c>
      <c r="G90" t="s">
        <v>18</v>
      </c>
      <c r="H90">
        <v>2</v>
      </c>
      <c r="I90">
        <v>31681</v>
      </c>
      <c r="J90">
        <v>5</v>
      </c>
      <c r="K90" t="s">
        <v>27</v>
      </c>
      <c r="L90" t="s">
        <v>20</v>
      </c>
      <c r="M90">
        <v>4</v>
      </c>
    </row>
    <row r="91" spans="1:13" x14ac:dyDescent="0.3">
      <c r="A91" t="s">
        <v>232</v>
      </c>
      <c r="B91" s="2">
        <v>46076</v>
      </c>
      <c r="C91" t="s">
        <v>233</v>
      </c>
      <c r="D91" t="s">
        <v>231</v>
      </c>
      <c r="E91" t="s">
        <v>31</v>
      </c>
      <c r="F91" t="s">
        <v>62</v>
      </c>
      <c r="G91" t="s">
        <v>50</v>
      </c>
      <c r="H91">
        <v>1</v>
      </c>
      <c r="I91">
        <v>300</v>
      </c>
      <c r="J91">
        <v>15</v>
      </c>
      <c r="K91" t="s">
        <v>56</v>
      </c>
      <c r="L91" t="s">
        <v>139</v>
      </c>
      <c r="M91">
        <v>2</v>
      </c>
    </row>
    <row r="92" spans="1:13" x14ac:dyDescent="0.3">
      <c r="A92" t="s">
        <v>234</v>
      </c>
      <c r="B92" s="2">
        <v>46142</v>
      </c>
      <c r="C92" t="s">
        <v>235</v>
      </c>
      <c r="D92" t="s">
        <v>109</v>
      </c>
      <c r="E92" t="s">
        <v>16</v>
      </c>
      <c r="F92" t="s">
        <v>122</v>
      </c>
      <c r="G92" t="s">
        <v>45</v>
      </c>
      <c r="H92">
        <v>1</v>
      </c>
      <c r="I92">
        <v>350</v>
      </c>
      <c r="J92">
        <v>5</v>
      </c>
      <c r="K92" t="s">
        <v>19</v>
      </c>
      <c r="L92" t="s">
        <v>20</v>
      </c>
      <c r="M92">
        <v>3</v>
      </c>
    </row>
    <row r="93" spans="1:13" x14ac:dyDescent="0.3">
      <c r="A93" t="s">
        <v>236</v>
      </c>
      <c r="B93" s="2">
        <v>46169</v>
      </c>
      <c r="C93" t="s">
        <v>199</v>
      </c>
      <c r="D93" t="s">
        <v>15</v>
      </c>
      <c r="E93" t="s">
        <v>36</v>
      </c>
      <c r="F93" t="s">
        <v>95</v>
      </c>
      <c r="G93" t="s">
        <v>45</v>
      </c>
      <c r="H93">
        <v>3</v>
      </c>
      <c r="I93">
        <v>1000</v>
      </c>
      <c r="J93">
        <v>15</v>
      </c>
      <c r="K93" t="s">
        <v>19</v>
      </c>
      <c r="L93" t="s">
        <v>20</v>
      </c>
      <c r="M93">
        <v>3</v>
      </c>
    </row>
    <row r="94" spans="1:13" x14ac:dyDescent="0.3">
      <c r="A94" t="s">
        <v>237</v>
      </c>
      <c r="B94" s="2">
        <v>46141</v>
      </c>
      <c r="C94" t="s">
        <v>192</v>
      </c>
      <c r="D94" t="s">
        <v>98</v>
      </c>
      <c r="E94" t="s">
        <v>31</v>
      </c>
      <c r="F94" t="s">
        <v>49</v>
      </c>
      <c r="G94" t="s">
        <v>50</v>
      </c>
      <c r="H94">
        <v>2</v>
      </c>
      <c r="I94">
        <v>373</v>
      </c>
      <c r="J94">
        <v>5</v>
      </c>
      <c r="K94" t="s">
        <v>91</v>
      </c>
      <c r="L94" t="s">
        <v>20</v>
      </c>
      <c r="M94">
        <v>4</v>
      </c>
    </row>
    <row r="95" spans="1:13" x14ac:dyDescent="0.3">
      <c r="A95" t="s">
        <v>238</v>
      </c>
      <c r="B95" s="2">
        <v>46150</v>
      </c>
      <c r="C95" t="s">
        <v>239</v>
      </c>
      <c r="D95" t="s">
        <v>149</v>
      </c>
      <c r="E95" t="s">
        <v>36</v>
      </c>
      <c r="F95" t="s">
        <v>127</v>
      </c>
      <c r="G95" t="s">
        <v>55</v>
      </c>
      <c r="H95">
        <v>2</v>
      </c>
      <c r="I95">
        <v>1800</v>
      </c>
      <c r="J95">
        <v>10</v>
      </c>
      <c r="K95" t="s">
        <v>19</v>
      </c>
      <c r="L95" t="s">
        <v>20</v>
      </c>
      <c r="M95">
        <v>3</v>
      </c>
    </row>
    <row r="96" spans="1:13" x14ac:dyDescent="0.3">
      <c r="A96" t="s">
        <v>240</v>
      </c>
      <c r="B96" s="2">
        <v>46026</v>
      </c>
      <c r="C96" t="s">
        <v>202</v>
      </c>
      <c r="D96" t="s">
        <v>109</v>
      </c>
      <c r="E96" t="s">
        <v>36</v>
      </c>
      <c r="F96" t="s">
        <v>44</v>
      </c>
      <c r="G96" t="s">
        <v>45</v>
      </c>
      <c r="H96">
        <v>2</v>
      </c>
      <c r="I96">
        <v>1250</v>
      </c>
      <c r="J96">
        <v>15</v>
      </c>
      <c r="K96" t="s">
        <v>27</v>
      </c>
      <c r="L96" t="s">
        <v>20</v>
      </c>
      <c r="M96">
        <v>1</v>
      </c>
    </row>
    <row r="97" spans="1:13" x14ac:dyDescent="0.3">
      <c r="A97" t="s">
        <v>241</v>
      </c>
      <c r="B97" s="2">
        <v>46175</v>
      </c>
      <c r="C97" t="s">
        <v>242</v>
      </c>
      <c r="D97" t="s">
        <v>80</v>
      </c>
      <c r="E97" t="s">
        <v>40</v>
      </c>
      <c r="F97" t="s">
        <v>113</v>
      </c>
      <c r="G97" t="s">
        <v>26</v>
      </c>
      <c r="H97">
        <v>1</v>
      </c>
      <c r="I97">
        <v>709</v>
      </c>
      <c r="J97">
        <v>5</v>
      </c>
      <c r="K97" t="s">
        <v>19</v>
      </c>
      <c r="L97" t="s">
        <v>20</v>
      </c>
      <c r="M97">
        <v>2</v>
      </c>
    </row>
    <row r="98" spans="1:13" x14ac:dyDescent="0.3">
      <c r="A98" t="s">
        <v>243</v>
      </c>
      <c r="B98" s="2">
        <v>46034</v>
      </c>
      <c r="C98" t="s">
        <v>29</v>
      </c>
      <c r="D98" t="s">
        <v>30</v>
      </c>
      <c r="E98" t="s">
        <v>117</v>
      </c>
      <c r="F98" t="s">
        <v>124</v>
      </c>
      <c r="G98" t="s">
        <v>55</v>
      </c>
      <c r="H98">
        <v>2</v>
      </c>
      <c r="I98">
        <v>1700</v>
      </c>
      <c r="J98">
        <v>5</v>
      </c>
      <c r="K98" t="s">
        <v>56</v>
      </c>
      <c r="L98" t="s">
        <v>20</v>
      </c>
      <c r="M98">
        <v>5</v>
      </c>
    </row>
    <row r="99" spans="1:13" x14ac:dyDescent="0.3">
      <c r="A99" t="s">
        <v>244</v>
      </c>
      <c r="B99" s="2">
        <v>46203</v>
      </c>
      <c r="C99" t="s">
        <v>93</v>
      </c>
      <c r="D99" t="s">
        <v>94</v>
      </c>
      <c r="E99" t="s">
        <v>117</v>
      </c>
      <c r="F99" t="s">
        <v>17</v>
      </c>
      <c r="G99" t="s">
        <v>18</v>
      </c>
      <c r="H99">
        <v>1</v>
      </c>
      <c r="I99">
        <v>19130</v>
      </c>
      <c r="J99">
        <v>5</v>
      </c>
      <c r="K99" t="s">
        <v>56</v>
      </c>
      <c r="L99" t="s">
        <v>20</v>
      </c>
      <c r="M99">
        <v>3</v>
      </c>
    </row>
    <row r="100" spans="1:13" x14ac:dyDescent="0.3">
      <c r="A100" t="s">
        <v>245</v>
      </c>
      <c r="B100" s="2">
        <v>46120</v>
      </c>
      <c r="C100" t="s">
        <v>246</v>
      </c>
      <c r="D100" t="s">
        <v>23</v>
      </c>
      <c r="E100" t="s">
        <v>31</v>
      </c>
      <c r="F100" t="s">
        <v>95</v>
      </c>
      <c r="G100" t="s">
        <v>45</v>
      </c>
      <c r="H100">
        <v>1</v>
      </c>
      <c r="I100">
        <v>1300</v>
      </c>
      <c r="J100">
        <v>0</v>
      </c>
      <c r="K100" t="s">
        <v>19</v>
      </c>
      <c r="L100" t="s">
        <v>20</v>
      </c>
      <c r="M100">
        <v>1</v>
      </c>
    </row>
    <row r="101" spans="1:13" x14ac:dyDescent="0.3">
      <c r="A101" t="s">
        <v>247</v>
      </c>
      <c r="B101" s="2">
        <v>46176</v>
      </c>
      <c r="C101" t="s">
        <v>248</v>
      </c>
      <c r="D101" t="s">
        <v>30</v>
      </c>
      <c r="E101" t="s">
        <v>40</v>
      </c>
      <c r="F101" t="s">
        <v>127</v>
      </c>
      <c r="G101" t="s">
        <v>55</v>
      </c>
      <c r="H101">
        <v>1</v>
      </c>
      <c r="I101">
        <v>500</v>
      </c>
      <c r="J101">
        <v>10</v>
      </c>
      <c r="K101" t="s">
        <v>27</v>
      </c>
      <c r="L101" t="s">
        <v>20</v>
      </c>
      <c r="M101">
        <v>4</v>
      </c>
    </row>
    <row r="102" spans="1:13" x14ac:dyDescent="0.3">
      <c r="A102" t="s">
        <v>249</v>
      </c>
      <c r="B102" s="2">
        <v>46130</v>
      </c>
      <c r="C102" t="s">
        <v>183</v>
      </c>
      <c r="D102" t="s">
        <v>184</v>
      </c>
      <c r="E102" t="s">
        <v>81</v>
      </c>
      <c r="F102" t="s">
        <v>124</v>
      </c>
      <c r="G102" t="s">
        <v>55</v>
      </c>
      <c r="H102">
        <v>1</v>
      </c>
      <c r="I102">
        <v>1600</v>
      </c>
      <c r="J102">
        <v>0</v>
      </c>
      <c r="K102" t="s">
        <v>56</v>
      </c>
      <c r="L102" t="s">
        <v>20</v>
      </c>
      <c r="M102">
        <v>4</v>
      </c>
    </row>
    <row r="103" spans="1:13" x14ac:dyDescent="0.3">
      <c r="A103" t="s">
        <v>250</v>
      </c>
      <c r="B103" s="2">
        <v>46034</v>
      </c>
      <c r="C103" t="s">
        <v>48</v>
      </c>
      <c r="D103" t="s">
        <v>23</v>
      </c>
      <c r="E103" t="s">
        <v>117</v>
      </c>
      <c r="F103" t="s">
        <v>95</v>
      </c>
      <c r="G103" t="s">
        <v>45</v>
      </c>
      <c r="H103">
        <v>2</v>
      </c>
      <c r="I103">
        <v>950</v>
      </c>
      <c r="J103">
        <v>10</v>
      </c>
      <c r="K103" t="s">
        <v>56</v>
      </c>
      <c r="L103" t="s">
        <v>20</v>
      </c>
      <c r="M103">
        <v>2</v>
      </c>
    </row>
    <row r="104" spans="1:13" x14ac:dyDescent="0.3">
      <c r="A104" t="s">
        <v>251</v>
      </c>
      <c r="B104" s="2">
        <v>46034</v>
      </c>
      <c r="C104" t="s">
        <v>252</v>
      </c>
      <c r="D104" t="s">
        <v>94</v>
      </c>
      <c r="E104" t="s">
        <v>31</v>
      </c>
      <c r="F104" t="s">
        <v>95</v>
      </c>
      <c r="G104" t="s">
        <v>45</v>
      </c>
      <c r="H104">
        <v>1</v>
      </c>
      <c r="I104">
        <v>1400</v>
      </c>
      <c r="J104">
        <v>15</v>
      </c>
      <c r="K104" t="s">
        <v>91</v>
      </c>
      <c r="L104" t="s">
        <v>20</v>
      </c>
      <c r="M104">
        <v>3</v>
      </c>
    </row>
    <row r="105" spans="1:13" x14ac:dyDescent="0.3">
      <c r="A105" t="s">
        <v>253</v>
      </c>
      <c r="B105" s="2">
        <v>46101</v>
      </c>
      <c r="C105" t="s">
        <v>254</v>
      </c>
      <c r="D105" t="s">
        <v>39</v>
      </c>
      <c r="E105" t="s">
        <v>81</v>
      </c>
      <c r="F105" t="s">
        <v>124</v>
      </c>
      <c r="G105" t="s">
        <v>55</v>
      </c>
      <c r="H105">
        <v>3</v>
      </c>
      <c r="I105">
        <v>3100</v>
      </c>
      <c r="J105">
        <v>10</v>
      </c>
      <c r="K105" t="s">
        <v>56</v>
      </c>
      <c r="L105" t="s">
        <v>20</v>
      </c>
      <c r="M105">
        <v>5</v>
      </c>
    </row>
    <row r="106" spans="1:13" x14ac:dyDescent="0.3">
      <c r="A106" t="s">
        <v>255</v>
      </c>
      <c r="B106" s="2">
        <v>46125</v>
      </c>
      <c r="C106" t="s">
        <v>256</v>
      </c>
      <c r="D106" t="s">
        <v>53</v>
      </c>
      <c r="E106" t="s">
        <v>36</v>
      </c>
      <c r="F106" t="s">
        <v>62</v>
      </c>
      <c r="G106" t="s">
        <v>50</v>
      </c>
      <c r="H106">
        <v>1</v>
      </c>
      <c r="I106">
        <v>1103</v>
      </c>
      <c r="J106">
        <v>0</v>
      </c>
      <c r="K106" t="s">
        <v>27</v>
      </c>
      <c r="L106" t="s">
        <v>20</v>
      </c>
      <c r="M106">
        <v>3</v>
      </c>
    </row>
    <row r="107" spans="1:13" x14ac:dyDescent="0.3">
      <c r="A107" t="s">
        <v>257</v>
      </c>
      <c r="B107" s="2">
        <v>46142</v>
      </c>
      <c r="C107" t="s">
        <v>258</v>
      </c>
      <c r="D107" t="s">
        <v>53</v>
      </c>
      <c r="E107" t="s">
        <v>40</v>
      </c>
      <c r="F107" t="s">
        <v>68</v>
      </c>
      <c r="G107" t="s">
        <v>26</v>
      </c>
      <c r="H107">
        <v>1</v>
      </c>
      <c r="I107">
        <v>862</v>
      </c>
      <c r="J107">
        <v>20</v>
      </c>
      <c r="K107" t="s">
        <v>27</v>
      </c>
      <c r="L107" t="s">
        <v>20</v>
      </c>
      <c r="M107">
        <v>3</v>
      </c>
    </row>
    <row r="108" spans="1:13" x14ac:dyDescent="0.3">
      <c r="A108" t="s">
        <v>259</v>
      </c>
      <c r="B108" s="2">
        <v>46192</v>
      </c>
      <c r="C108" t="s">
        <v>260</v>
      </c>
      <c r="D108" t="s">
        <v>61</v>
      </c>
      <c r="E108" t="s">
        <v>24</v>
      </c>
      <c r="F108" t="s">
        <v>17</v>
      </c>
      <c r="G108" t="s">
        <v>18</v>
      </c>
      <c r="H108">
        <v>1</v>
      </c>
      <c r="I108">
        <v>22716</v>
      </c>
      <c r="J108">
        <v>20</v>
      </c>
      <c r="K108" t="s">
        <v>19</v>
      </c>
      <c r="L108" t="s">
        <v>20</v>
      </c>
      <c r="M108">
        <v>3</v>
      </c>
    </row>
    <row r="109" spans="1:13" x14ac:dyDescent="0.3">
      <c r="A109" t="s">
        <v>261</v>
      </c>
      <c r="B109" s="2">
        <v>46143</v>
      </c>
      <c r="C109" t="s">
        <v>210</v>
      </c>
      <c r="D109" t="s">
        <v>101</v>
      </c>
      <c r="E109" t="s">
        <v>16</v>
      </c>
      <c r="F109" t="s">
        <v>190</v>
      </c>
      <c r="G109" t="s">
        <v>55</v>
      </c>
      <c r="H109">
        <v>2</v>
      </c>
      <c r="I109">
        <v>900</v>
      </c>
      <c r="J109">
        <v>0</v>
      </c>
      <c r="K109" t="s">
        <v>27</v>
      </c>
      <c r="L109" t="s">
        <v>20</v>
      </c>
      <c r="M109">
        <v>4</v>
      </c>
    </row>
    <row r="110" spans="1:13" x14ac:dyDescent="0.3">
      <c r="A110" t="s">
        <v>262</v>
      </c>
      <c r="B110" s="2">
        <v>46168</v>
      </c>
      <c r="C110" t="s">
        <v>163</v>
      </c>
      <c r="D110" t="s">
        <v>39</v>
      </c>
      <c r="E110" t="s">
        <v>31</v>
      </c>
      <c r="F110" t="s">
        <v>156</v>
      </c>
      <c r="G110" t="s">
        <v>18</v>
      </c>
      <c r="H110">
        <v>4</v>
      </c>
      <c r="I110">
        <v>37060</v>
      </c>
      <c r="J110">
        <v>5</v>
      </c>
      <c r="K110" t="s">
        <v>19</v>
      </c>
      <c r="L110" t="s">
        <v>20</v>
      </c>
      <c r="M110">
        <v>5</v>
      </c>
    </row>
    <row r="111" spans="1:13" x14ac:dyDescent="0.3">
      <c r="A111" t="s">
        <v>263</v>
      </c>
      <c r="B111" s="2">
        <v>46110</v>
      </c>
      <c r="C111" t="s">
        <v>264</v>
      </c>
      <c r="D111" t="s">
        <v>71</v>
      </c>
      <c r="E111" t="s">
        <v>40</v>
      </c>
      <c r="F111" t="s">
        <v>49</v>
      </c>
      <c r="G111" t="s">
        <v>50</v>
      </c>
      <c r="H111">
        <v>4</v>
      </c>
      <c r="I111">
        <v>738</v>
      </c>
      <c r="J111">
        <v>5</v>
      </c>
      <c r="K111" t="s">
        <v>91</v>
      </c>
      <c r="L111" t="s">
        <v>20</v>
      </c>
      <c r="M111">
        <v>3</v>
      </c>
    </row>
    <row r="112" spans="1:13" x14ac:dyDescent="0.3">
      <c r="A112" t="s">
        <v>265</v>
      </c>
      <c r="B112" s="2">
        <v>46132</v>
      </c>
      <c r="C112" t="s">
        <v>266</v>
      </c>
      <c r="D112" t="s">
        <v>80</v>
      </c>
      <c r="E112" t="s">
        <v>31</v>
      </c>
      <c r="F112" t="s">
        <v>90</v>
      </c>
      <c r="G112" t="s">
        <v>18</v>
      </c>
      <c r="H112">
        <v>1</v>
      </c>
      <c r="I112">
        <v>15544</v>
      </c>
      <c r="J112">
        <v>15</v>
      </c>
      <c r="K112" t="s">
        <v>19</v>
      </c>
      <c r="L112" t="s">
        <v>20</v>
      </c>
      <c r="M112">
        <v>3</v>
      </c>
    </row>
    <row r="113" spans="1:13" x14ac:dyDescent="0.3">
      <c r="A113" t="s">
        <v>267</v>
      </c>
      <c r="B113" s="2">
        <v>46104</v>
      </c>
      <c r="C113" t="s">
        <v>160</v>
      </c>
      <c r="D113" t="s">
        <v>161</v>
      </c>
      <c r="E113" t="s">
        <v>81</v>
      </c>
      <c r="F113" t="s">
        <v>213</v>
      </c>
      <c r="G113" t="s">
        <v>18</v>
      </c>
      <c r="H113">
        <v>1</v>
      </c>
      <c r="I113">
        <v>10165</v>
      </c>
      <c r="J113">
        <v>15</v>
      </c>
      <c r="K113" t="s">
        <v>19</v>
      </c>
      <c r="L113" t="s">
        <v>46</v>
      </c>
      <c r="M113">
        <v>0</v>
      </c>
    </row>
    <row r="114" spans="1:13" x14ac:dyDescent="0.3">
      <c r="A114" t="s">
        <v>268</v>
      </c>
      <c r="B114" s="2">
        <v>46120</v>
      </c>
      <c r="C114" t="s">
        <v>42</v>
      </c>
      <c r="D114" t="s">
        <v>43</v>
      </c>
      <c r="E114" t="s">
        <v>40</v>
      </c>
      <c r="F114" t="s">
        <v>54</v>
      </c>
      <c r="G114" t="s">
        <v>55</v>
      </c>
      <c r="H114">
        <v>1</v>
      </c>
      <c r="I114">
        <v>3200</v>
      </c>
      <c r="J114">
        <v>0</v>
      </c>
      <c r="K114" t="s">
        <v>56</v>
      </c>
      <c r="L114" t="s">
        <v>20</v>
      </c>
      <c r="M114">
        <v>3</v>
      </c>
    </row>
    <row r="115" spans="1:13" x14ac:dyDescent="0.3">
      <c r="A115" t="s">
        <v>269</v>
      </c>
      <c r="B115" s="2">
        <v>46047</v>
      </c>
      <c r="C115" t="s">
        <v>270</v>
      </c>
      <c r="D115" t="s">
        <v>184</v>
      </c>
      <c r="E115" t="s">
        <v>117</v>
      </c>
      <c r="F115" t="s">
        <v>32</v>
      </c>
      <c r="G115" t="s">
        <v>18</v>
      </c>
      <c r="H115">
        <v>1</v>
      </c>
      <c r="I115">
        <v>26302</v>
      </c>
      <c r="J115">
        <v>10</v>
      </c>
      <c r="K115" t="s">
        <v>19</v>
      </c>
      <c r="L115" t="s">
        <v>20</v>
      </c>
      <c r="M115">
        <v>5</v>
      </c>
    </row>
    <row r="116" spans="1:13" x14ac:dyDescent="0.3">
      <c r="A116" t="s">
        <v>271</v>
      </c>
      <c r="B116" s="2">
        <v>46078</v>
      </c>
      <c r="C116" t="s">
        <v>192</v>
      </c>
      <c r="D116" t="s">
        <v>98</v>
      </c>
      <c r="E116" t="s">
        <v>81</v>
      </c>
      <c r="F116" t="s">
        <v>135</v>
      </c>
      <c r="G116" t="s">
        <v>50</v>
      </c>
      <c r="H116">
        <v>2</v>
      </c>
      <c r="I116">
        <v>1176</v>
      </c>
      <c r="J116">
        <v>10</v>
      </c>
      <c r="K116" t="s">
        <v>56</v>
      </c>
      <c r="L116" t="s">
        <v>20</v>
      </c>
      <c r="M116">
        <v>4</v>
      </c>
    </row>
    <row r="117" spans="1:13" x14ac:dyDescent="0.3">
      <c r="A117" t="s">
        <v>272</v>
      </c>
      <c r="B117" s="2">
        <v>46081</v>
      </c>
      <c r="C117" t="s">
        <v>273</v>
      </c>
      <c r="D117" t="s">
        <v>15</v>
      </c>
      <c r="E117" t="s">
        <v>36</v>
      </c>
      <c r="F117" t="s">
        <v>131</v>
      </c>
      <c r="G117" t="s">
        <v>55</v>
      </c>
      <c r="H117">
        <v>3</v>
      </c>
      <c r="I117">
        <v>2900</v>
      </c>
      <c r="J117">
        <v>0</v>
      </c>
      <c r="K117" t="s">
        <v>27</v>
      </c>
      <c r="L117" t="s">
        <v>20</v>
      </c>
      <c r="M117">
        <v>6</v>
      </c>
    </row>
    <row r="118" spans="1:13" x14ac:dyDescent="0.3">
      <c r="A118" t="s">
        <v>274</v>
      </c>
      <c r="B118" s="2">
        <v>46160</v>
      </c>
      <c r="C118" t="s">
        <v>275</v>
      </c>
      <c r="D118" t="s">
        <v>75</v>
      </c>
      <c r="E118" t="s">
        <v>16</v>
      </c>
      <c r="F118" t="s">
        <v>90</v>
      </c>
      <c r="G118" t="s">
        <v>18</v>
      </c>
      <c r="H118">
        <v>1</v>
      </c>
      <c r="I118">
        <v>6579</v>
      </c>
      <c r="J118">
        <v>15</v>
      </c>
      <c r="K118" t="s">
        <v>19</v>
      </c>
      <c r="L118" t="s">
        <v>20</v>
      </c>
      <c r="M118">
        <v>3</v>
      </c>
    </row>
    <row r="119" spans="1:13" x14ac:dyDescent="0.3">
      <c r="A119" t="s">
        <v>276</v>
      </c>
      <c r="B119" s="2">
        <v>46068</v>
      </c>
      <c r="C119" t="s">
        <v>115</v>
      </c>
      <c r="D119" t="s">
        <v>116</v>
      </c>
      <c r="E119" t="s">
        <v>31</v>
      </c>
      <c r="F119" t="s">
        <v>82</v>
      </c>
      <c r="G119" t="s">
        <v>50</v>
      </c>
      <c r="H119">
        <v>1</v>
      </c>
      <c r="I119">
        <v>2271</v>
      </c>
      <c r="J119">
        <v>15</v>
      </c>
      <c r="K119" t="s">
        <v>19</v>
      </c>
      <c r="L119" t="s">
        <v>20</v>
      </c>
      <c r="M119">
        <v>3</v>
      </c>
    </row>
    <row r="120" spans="1:13" x14ac:dyDescent="0.3">
      <c r="A120" t="s">
        <v>277</v>
      </c>
      <c r="B120" s="2">
        <v>46178</v>
      </c>
      <c r="C120" t="s">
        <v>111</v>
      </c>
      <c r="D120" t="s">
        <v>71</v>
      </c>
      <c r="E120" t="s">
        <v>117</v>
      </c>
      <c r="F120" t="s">
        <v>95</v>
      </c>
      <c r="G120" t="s">
        <v>45</v>
      </c>
      <c r="H120">
        <v>3</v>
      </c>
      <c r="I120">
        <v>1200</v>
      </c>
      <c r="J120">
        <v>10</v>
      </c>
      <c r="K120" t="s">
        <v>19</v>
      </c>
      <c r="L120" t="s">
        <v>20</v>
      </c>
      <c r="M120">
        <v>1</v>
      </c>
    </row>
    <row r="121" spans="1:13" x14ac:dyDescent="0.3">
      <c r="A121" t="s">
        <v>278</v>
      </c>
      <c r="B121" s="2">
        <v>46034</v>
      </c>
      <c r="C121" t="s">
        <v>279</v>
      </c>
      <c r="D121" t="s">
        <v>184</v>
      </c>
      <c r="E121" t="s">
        <v>36</v>
      </c>
      <c r="F121" t="s">
        <v>49</v>
      </c>
      <c r="G121" t="s">
        <v>50</v>
      </c>
      <c r="H121">
        <v>1</v>
      </c>
      <c r="I121">
        <v>1833</v>
      </c>
      <c r="J121">
        <v>0</v>
      </c>
      <c r="K121" t="s">
        <v>56</v>
      </c>
      <c r="L121" t="s">
        <v>139</v>
      </c>
      <c r="M121">
        <v>4</v>
      </c>
    </row>
    <row r="122" spans="1:13" x14ac:dyDescent="0.3">
      <c r="A122" t="s">
        <v>280</v>
      </c>
      <c r="B122" s="2">
        <v>46051</v>
      </c>
      <c r="C122" t="s">
        <v>97</v>
      </c>
      <c r="D122" t="s">
        <v>98</v>
      </c>
      <c r="E122" t="s">
        <v>36</v>
      </c>
      <c r="F122" t="s">
        <v>54</v>
      </c>
      <c r="G122" t="s">
        <v>55</v>
      </c>
      <c r="H122">
        <v>2</v>
      </c>
      <c r="I122">
        <v>1500</v>
      </c>
      <c r="J122">
        <v>5</v>
      </c>
      <c r="K122" t="s">
        <v>19</v>
      </c>
      <c r="L122" t="s">
        <v>139</v>
      </c>
      <c r="M122">
        <v>4</v>
      </c>
    </row>
    <row r="123" spans="1:13" x14ac:dyDescent="0.3">
      <c r="A123" t="s">
        <v>281</v>
      </c>
      <c r="B123" s="2">
        <v>46163</v>
      </c>
      <c r="C123" t="s">
        <v>160</v>
      </c>
      <c r="D123" t="s">
        <v>161</v>
      </c>
      <c r="E123" t="s">
        <v>65</v>
      </c>
      <c r="F123" t="s">
        <v>135</v>
      </c>
      <c r="G123" t="s">
        <v>50</v>
      </c>
      <c r="H123">
        <v>1</v>
      </c>
      <c r="I123">
        <v>2344</v>
      </c>
      <c r="J123">
        <v>15</v>
      </c>
      <c r="K123" t="s">
        <v>56</v>
      </c>
      <c r="L123" t="s">
        <v>20</v>
      </c>
      <c r="M123">
        <v>4</v>
      </c>
    </row>
    <row r="124" spans="1:13" x14ac:dyDescent="0.3">
      <c r="A124" t="s">
        <v>282</v>
      </c>
      <c r="B124" s="2">
        <v>46106</v>
      </c>
      <c r="C124" t="s">
        <v>283</v>
      </c>
      <c r="D124" t="s">
        <v>35</v>
      </c>
      <c r="E124" t="s">
        <v>31</v>
      </c>
      <c r="F124" t="s">
        <v>54</v>
      </c>
      <c r="G124" t="s">
        <v>55</v>
      </c>
      <c r="H124">
        <v>1</v>
      </c>
      <c r="I124">
        <v>3100</v>
      </c>
      <c r="J124">
        <v>20</v>
      </c>
      <c r="K124" t="s">
        <v>19</v>
      </c>
      <c r="L124" t="s">
        <v>20</v>
      </c>
      <c r="M124">
        <v>5</v>
      </c>
    </row>
    <row r="125" spans="1:13" x14ac:dyDescent="0.3">
      <c r="A125" t="s">
        <v>284</v>
      </c>
      <c r="B125" s="2">
        <v>46047</v>
      </c>
      <c r="C125" t="s">
        <v>285</v>
      </c>
      <c r="D125" t="s">
        <v>15</v>
      </c>
      <c r="E125" t="s">
        <v>81</v>
      </c>
      <c r="F125" t="s">
        <v>141</v>
      </c>
      <c r="G125" t="s">
        <v>50</v>
      </c>
      <c r="H125">
        <v>1</v>
      </c>
      <c r="I125">
        <v>1395</v>
      </c>
      <c r="J125">
        <v>0</v>
      </c>
      <c r="K125" t="s">
        <v>19</v>
      </c>
      <c r="L125" t="s">
        <v>20</v>
      </c>
      <c r="M125">
        <v>3</v>
      </c>
    </row>
    <row r="126" spans="1:13" x14ac:dyDescent="0.3">
      <c r="A126" t="s">
        <v>286</v>
      </c>
      <c r="B126" s="2">
        <v>46153</v>
      </c>
      <c r="C126" t="s">
        <v>111</v>
      </c>
      <c r="D126" t="s">
        <v>71</v>
      </c>
      <c r="E126" t="s">
        <v>16</v>
      </c>
      <c r="F126" t="s">
        <v>190</v>
      </c>
      <c r="G126" t="s">
        <v>55</v>
      </c>
      <c r="H126">
        <v>1</v>
      </c>
      <c r="I126">
        <v>3000</v>
      </c>
      <c r="J126">
        <v>15</v>
      </c>
      <c r="K126" t="s">
        <v>27</v>
      </c>
      <c r="L126" t="s">
        <v>20</v>
      </c>
      <c r="M126">
        <v>3</v>
      </c>
    </row>
    <row r="127" spans="1:13" x14ac:dyDescent="0.3">
      <c r="A127" t="s">
        <v>287</v>
      </c>
      <c r="B127" s="2">
        <v>46148</v>
      </c>
      <c r="C127" t="s">
        <v>230</v>
      </c>
      <c r="D127" t="s">
        <v>231</v>
      </c>
      <c r="E127" t="s">
        <v>81</v>
      </c>
      <c r="F127" t="s">
        <v>127</v>
      </c>
      <c r="G127" t="s">
        <v>55</v>
      </c>
      <c r="H127">
        <v>1</v>
      </c>
      <c r="I127">
        <v>3200</v>
      </c>
      <c r="J127">
        <v>10</v>
      </c>
      <c r="K127" t="s">
        <v>19</v>
      </c>
      <c r="L127" t="s">
        <v>20</v>
      </c>
      <c r="M127">
        <v>4</v>
      </c>
    </row>
    <row r="128" spans="1:13" x14ac:dyDescent="0.3">
      <c r="A128" t="s">
        <v>288</v>
      </c>
      <c r="B128" s="2">
        <v>46043</v>
      </c>
      <c r="C128" t="s">
        <v>205</v>
      </c>
      <c r="D128" t="s">
        <v>98</v>
      </c>
      <c r="E128" t="s">
        <v>36</v>
      </c>
      <c r="F128" t="s">
        <v>54</v>
      </c>
      <c r="G128" t="s">
        <v>55</v>
      </c>
      <c r="H128">
        <v>2</v>
      </c>
      <c r="I128">
        <v>1700</v>
      </c>
      <c r="J128">
        <v>25</v>
      </c>
      <c r="K128" t="s">
        <v>56</v>
      </c>
      <c r="L128" t="s">
        <v>20</v>
      </c>
      <c r="M128">
        <v>2</v>
      </c>
    </row>
    <row r="129" spans="1:13" x14ac:dyDescent="0.3">
      <c r="A129" t="s">
        <v>289</v>
      </c>
      <c r="B129" s="2">
        <v>46110</v>
      </c>
      <c r="C129" t="s">
        <v>290</v>
      </c>
      <c r="D129" t="s">
        <v>80</v>
      </c>
      <c r="E129" t="s">
        <v>36</v>
      </c>
      <c r="F129" t="s">
        <v>32</v>
      </c>
      <c r="G129" t="s">
        <v>18</v>
      </c>
      <c r="H129">
        <v>1</v>
      </c>
      <c r="I129">
        <v>35267</v>
      </c>
      <c r="J129">
        <v>15</v>
      </c>
      <c r="K129" t="s">
        <v>91</v>
      </c>
      <c r="L129" t="s">
        <v>20</v>
      </c>
      <c r="M129">
        <v>5</v>
      </c>
    </row>
    <row r="130" spans="1:13" x14ac:dyDescent="0.3">
      <c r="A130" t="s">
        <v>291</v>
      </c>
      <c r="B130" s="2">
        <v>46183</v>
      </c>
      <c r="C130" t="s">
        <v>292</v>
      </c>
      <c r="D130" t="s">
        <v>98</v>
      </c>
      <c r="E130" t="s">
        <v>16</v>
      </c>
      <c r="F130" t="s">
        <v>124</v>
      </c>
      <c r="G130" t="s">
        <v>55</v>
      </c>
      <c r="H130">
        <v>1</v>
      </c>
      <c r="I130">
        <v>1000</v>
      </c>
      <c r="J130">
        <v>10</v>
      </c>
      <c r="K130" t="s">
        <v>56</v>
      </c>
      <c r="L130" t="s">
        <v>20</v>
      </c>
      <c r="M130">
        <v>5</v>
      </c>
    </row>
    <row r="131" spans="1:13" x14ac:dyDescent="0.3">
      <c r="A131" t="s">
        <v>293</v>
      </c>
      <c r="B131" s="2">
        <v>46194</v>
      </c>
      <c r="C131" t="s">
        <v>266</v>
      </c>
      <c r="D131" t="s">
        <v>80</v>
      </c>
      <c r="E131" t="s">
        <v>36</v>
      </c>
      <c r="F131" t="s">
        <v>62</v>
      </c>
      <c r="G131" t="s">
        <v>50</v>
      </c>
      <c r="H131">
        <v>1</v>
      </c>
      <c r="I131">
        <v>2198</v>
      </c>
      <c r="J131">
        <v>20</v>
      </c>
      <c r="K131" t="s">
        <v>19</v>
      </c>
      <c r="L131" t="s">
        <v>20</v>
      </c>
      <c r="M131">
        <v>4</v>
      </c>
    </row>
    <row r="132" spans="1:13" x14ac:dyDescent="0.3">
      <c r="A132" t="s">
        <v>294</v>
      </c>
      <c r="B132" s="2">
        <v>46114</v>
      </c>
      <c r="C132" t="s">
        <v>295</v>
      </c>
      <c r="D132" t="s">
        <v>94</v>
      </c>
      <c r="E132" t="s">
        <v>16</v>
      </c>
      <c r="F132" t="s">
        <v>54</v>
      </c>
      <c r="G132" t="s">
        <v>55</v>
      </c>
      <c r="H132">
        <v>1</v>
      </c>
      <c r="I132">
        <v>3500</v>
      </c>
      <c r="J132">
        <v>20</v>
      </c>
      <c r="K132" t="s">
        <v>27</v>
      </c>
      <c r="L132" t="s">
        <v>20</v>
      </c>
      <c r="M132">
        <v>5</v>
      </c>
    </row>
    <row r="133" spans="1:13" x14ac:dyDescent="0.3">
      <c r="A133" t="s">
        <v>296</v>
      </c>
      <c r="B133" s="2">
        <v>46149</v>
      </c>
      <c r="C133" t="s">
        <v>258</v>
      </c>
      <c r="D133" t="s">
        <v>53</v>
      </c>
      <c r="E133" t="s">
        <v>117</v>
      </c>
      <c r="F133" t="s">
        <v>82</v>
      </c>
      <c r="G133" t="s">
        <v>50</v>
      </c>
      <c r="H133">
        <v>1</v>
      </c>
      <c r="I133">
        <v>1249</v>
      </c>
      <c r="J133">
        <v>0</v>
      </c>
      <c r="K133" t="s">
        <v>19</v>
      </c>
      <c r="L133" t="s">
        <v>20</v>
      </c>
      <c r="M133">
        <v>3</v>
      </c>
    </row>
    <row r="134" spans="1:13" x14ac:dyDescent="0.3">
      <c r="A134" t="s">
        <v>297</v>
      </c>
      <c r="B134" s="2">
        <v>46122</v>
      </c>
      <c r="C134" t="s">
        <v>106</v>
      </c>
      <c r="D134" t="s">
        <v>71</v>
      </c>
      <c r="E134" t="s">
        <v>81</v>
      </c>
      <c r="F134" t="s">
        <v>95</v>
      </c>
      <c r="G134" t="s">
        <v>45</v>
      </c>
      <c r="H134">
        <v>1</v>
      </c>
      <c r="I134">
        <v>1250</v>
      </c>
      <c r="J134">
        <v>0</v>
      </c>
      <c r="K134" t="s">
        <v>19</v>
      </c>
      <c r="L134" t="s">
        <v>20</v>
      </c>
      <c r="M134">
        <v>2</v>
      </c>
    </row>
    <row r="135" spans="1:13" x14ac:dyDescent="0.3">
      <c r="A135" t="s">
        <v>298</v>
      </c>
      <c r="B135" s="2">
        <v>46118</v>
      </c>
      <c r="C135" t="s">
        <v>299</v>
      </c>
      <c r="D135" t="s">
        <v>98</v>
      </c>
      <c r="E135" t="s">
        <v>117</v>
      </c>
      <c r="F135" t="s">
        <v>190</v>
      </c>
      <c r="G135" t="s">
        <v>55</v>
      </c>
      <c r="H135">
        <v>1</v>
      </c>
      <c r="I135">
        <v>1400</v>
      </c>
      <c r="J135">
        <v>5</v>
      </c>
      <c r="K135" t="s">
        <v>19</v>
      </c>
      <c r="L135" t="s">
        <v>20</v>
      </c>
      <c r="M135">
        <v>4</v>
      </c>
    </row>
    <row r="136" spans="1:13" x14ac:dyDescent="0.3">
      <c r="A136" t="s">
        <v>300</v>
      </c>
      <c r="B136" s="2">
        <v>46046</v>
      </c>
      <c r="C136" t="s">
        <v>84</v>
      </c>
      <c r="D136" t="s">
        <v>35</v>
      </c>
      <c r="E136" t="s">
        <v>40</v>
      </c>
      <c r="F136" t="s">
        <v>190</v>
      </c>
      <c r="G136" t="s">
        <v>55</v>
      </c>
      <c r="H136">
        <v>4</v>
      </c>
      <c r="I136">
        <v>3400</v>
      </c>
      <c r="J136">
        <v>0</v>
      </c>
      <c r="K136" t="s">
        <v>56</v>
      </c>
      <c r="L136" t="s">
        <v>20</v>
      </c>
      <c r="M136">
        <v>5</v>
      </c>
    </row>
    <row r="137" spans="1:13" x14ac:dyDescent="0.3">
      <c r="A137" t="s">
        <v>301</v>
      </c>
      <c r="B137" s="2">
        <v>46139</v>
      </c>
      <c r="C137" t="s">
        <v>302</v>
      </c>
      <c r="D137" t="s">
        <v>231</v>
      </c>
      <c r="E137" t="s">
        <v>31</v>
      </c>
      <c r="F137" t="s">
        <v>82</v>
      </c>
      <c r="G137" t="s">
        <v>50</v>
      </c>
      <c r="H137">
        <v>1</v>
      </c>
      <c r="I137">
        <v>519</v>
      </c>
      <c r="J137">
        <v>5</v>
      </c>
      <c r="K137" t="s">
        <v>27</v>
      </c>
      <c r="L137" t="s">
        <v>46</v>
      </c>
      <c r="M137">
        <v>0</v>
      </c>
    </row>
    <row r="138" spans="1:13" x14ac:dyDescent="0.3">
      <c r="A138" t="s">
        <v>303</v>
      </c>
      <c r="B138" s="2">
        <v>46153</v>
      </c>
      <c r="C138" t="s">
        <v>106</v>
      </c>
      <c r="D138" t="s">
        <v>71</v>
      </c>
      <c r="E138" t="s">
        <v>117</v>
      </c>
      <c r="F138" t="s">
        <v>49</v>
      </c>
      <c r="G138" t="s">
        <v>50</v>
      </c>
      <c r="H138">
        <v>2</v>
      </c>
      <c r="I138">
        <v>446</v>
      </c>
      <c r="J138">
        <v>5</v>
      </c>
      <c r="K138" t="s">
        <v>27</v>
      </c>
      <c r="L138" t="s">
        <v>20</v>
      </c>
      <c r="M138">
        <v>4</v>
      </c>
    </row>
    <row r="139" spans="1:13" x14ac:dyDescent="0.3">
      <c r="A139" t="s">
        <v>304</v>
      </c>
      <c r="B139" s="2">
        <v>46091</v>
      </c>
      <c r="C139" t="s">
        <v>305</v>
      </c>
      <c r="D139" t="s">
        <v>15</v>
      </c>
      <c r="E139" t="s">
        <v>36</v>
      </c>
      <c r="F139" t="s">
        <v>190</v>
      </c>
      <c r="G139" t="s">
        <v>55</v>
      </c>
      <c r="H139">
        <v>1</v>
      </c>
      <c r="I139">
        <v>3300</v>
      </c>
      <c r="J139">
        <v>10</v>
      </c>
      <c r="K139" t="s">
        <v>19</v>
      </c>
      <c r="L139" t="s">
        <v>20</v>
      </c>
      <c r="M139">
        <v>1</v>
      </c>
    </row>
    <row r="140" spans="1:13" x14ac:dyDescent="0.3">
      <c r="A140" t="s">
        <v>306</v>
      </c>
      <c r="B140" s="2">
        <v>46167</v>
      </c>
      <c r="C140" t="s">
        <v>307</v>
      </c>
      <c r="D140" t="s">
        <v>98</v>
      </c>
      <c r="E140" t="s">
        <v>31</v>
      </c>
      <c r="F140" t="s">
        <v>44</v>
      </c>
      <c r="G140" t="s">
        <v>45</v>
      </c>
      <c r="H140">
        <v>2</v>
      </c>
      <c r="I140">
        <v>250</v>
      </c>
      <c r="J140">
        <v>5</v>
      </c>
      <c r="K140" t="s">
        <v>56</v>
      </c>
      <c r="L140" t="s">
        <v>20</v>
      </c>
      <c r="M140">
        <v>1</v>
      </c>
    </row>
    <row r="141" spans="1:13" x14ac:dyDescent="0.3">
      <c r="A141" t="s">
        <v>308</v>
      </c>
      <c r="B141" s="2">
        <v>46032</v>
      </c>
      <c r="C141" t="s">
        <v>309</v>
      </c>
      <c r="D141" t="s">
        <v>30</v>
      </c>
      <c r="E141" t="s">
        <v>36</v>
      </c>
      <c r="F141" t="s">
        <v>90</v>
      </c>
      <c r="G141" t="s">
        <v>18</v>
      </c>
      <c r="H141">
        <v>1</v>
      </c>
      <c r="I141">
        <v>51404</v>
      </c>
      <c r="J141">
        <v>15</v>
      </c>
      <c r="K141" t="s">
        <v>27</v>
      </c>
      <c r="L141" t="s">
        <v>20</v>
      </c>
      <c r="M141">
        <v>4</v>
      </c>
    </row>
    <row r="142" spans="1:13" x14ac:dyDescent="0.3">
      <c r="A142" t="s">
        <v>310</v>
      </c>
      <c r="B142" s="2">
        <v>46023</v>
      </c>
      <c r="C142" t="s">
        <v>189</v>
      </c>
      <c r="D142" t="s">
        <v>30</v>
      </c>
      <c r="E142" t="s">
        <v>31</v>
      </c>
      <c r="F142" t="s">
        <v>190</v>
      </c>
      <c r="G142" t="s">
        <v>55</v>
      </c>
      <c r="H142">
        <v>1</v>
      </c>
      <c r="I142">
        <v>2900</v>
      </c>
      <c r="J142">
        <v>5</v>
      </c>
      <c r="K142" t="s">
        <v>27</v>
      </c>
      <c r="L142" t="s">
        <v>20</v>
      </c>
      <c r="M142">
        <v>4</v>
      </c>
    </row>
    <row r="143" spans="1:13" x14ac:dyDescent="0.3">
      <c r="A143" t="s">
        <v>311</v>
      </c>
      <c r="B143" s="2">
        <v>46156</v>
      </c>
      <c r="C143" t="s">
        <v>292</v>
      </c>
      <c r="D143" t="s">
        <v>98</v>
      </c>
      <c r="E143" t="s">
        <v>36</v>
      </c>
      <c r="F143" t="s">
        <v>90</v>
      </c>
      <c r="G143" t="s">
        <v>18</v>
      </c>
      <c r="H143">
        <v>1</v>
      </c>
      <c r="I143">
        <v>24509</v>
      </c>
      <c r="J143">
        <v>10</v>
      </c>
      <c r="K143" t="s">
        <v>312</v>
      </c>
      <c r="L143" t="s">
        <v>20</v>
      </c>
      <c r="M143">
        <v>6</v>
      </c>
    </row>
    <row r="144" spans="1:13" x14ac:dyDescent="0.3">
      <c r="A144" t="s">
        <v>313</v>
      </c>
      <c r="B144" s="2">
        <v>46057</v>
      </c>
      <c r="C144" t="s">
        <v>187</v>
      </c>
      <c r="D144" t="s">
        <v>98</v>
      </c>
      <c r="E144" t="s">
        <v>40</v>
      </c>
      <c r="F144" t="s">
        <v>95</v>
      </c>
      <c r="G144" t="s">
        <v>45</v>
      </c>
      <c r="H144">
        <v>1</v>
      </c>
      <c r="I144">
        <v>150</v>
      </c>
      <c r="J144">
        <v>0</v>
      </c>
      <c r="K144" t="s">
        <v>19</v>
      </c>
      <c r="L144" t="s">
        <v>139</v>
      </c>
      <c r="M144">
        <v>2</v>
      </c>
    </row>
    <row r="145" spans="1:13" x14ac:dyDescent="0.3">
      <c r="A145" t="s">
        <v>314</v>
      </c>
      <c r="B145" s="2">
        <v>46193</v>
      </c>
      <c r="C145" t="s">
        <v>292</v>
      </c>
      <c r="D145" t="s">
        <v>98</v>
      </c>
      <c r="E145" t="s">
        <v>40</v>
      </c>
      <c r="F145" t="s">
        <v>141</v>
      </c>
      <c r="G145" t="s">
        <v>50</v>
      </c>
      <c r="H145">
        <v>1</v>
      </c>
      <c r="I145">
        <v>1906</v>
      </c>
      <c r="J145">
        <v>5</v>
      </c>
      <c r="K145" t="s">
        <v>56</v>
      </c>
      <c r="L145" t="s">
        <v>20</v>
      </c>
      <c r="M145">
        <v>4</v>
      </c>
    </row>
    <row r="146" spans="1:13" x14ac:dyDescent="0.3">
      <c r="A146" t="s">
        <v>315</v>
      </c>
      <c r="B146" s="2">
        <v>46030</v>
      </c>
      <c r="C146" t="s">
        <v>316</v>
      </c>
      <c r="D146" t="s">
        <v>94</v>
      </c>
      <c r="E146" t="s">
        <v>24</v>
      </c>
      <c r="F146" t="s">
        <v>17</v>
      </c>
      <c r="G146" t="s">
        <v>18</v>
      </c>
      <c r="H146">
        <v>2</v>
      </c>
      <c r="I146">
        <v>10165</v>
      </c>
      <c r="J146">
        <v>0</v>
      </c>
      <c r="K146" t="s">
        <v>27</v>
      </c>
      <c r="L146" t="s">
        <v>20</v>
      </c>
      <c r="M146">
        <v>4</v>
      </c>
    </row>
    <row r="147" spans="1:13" x14ac:dyDescent="0.3">
      <c r="A147" t="s">
        <v>317</v>
      </c>
      <c r="B147" s="2">
        <v>46167</v>
      </c>
      <c r="C147" t="s">
        <v>318</v>
      </c>
      <c r="D147" t="s">
        <v>30</v>
      </c>
      <c r="E147" t="s">
        <v>16</v>
      </c>
      <c r="F147" t="s">
        <v>72</v>
      </c>
      <c r="G147" t="s">
        <v>45</v>
      </c>
      <c r="H147">
        <v>1</v>
      </c>
      <c r="I147">
        <v>700</v>
      </c>
      <c r="J147">
        <v>15</v>
      </c>
      <c r="K147" t="s">
        <v>56</v>
      </c>
      <c r="L147" t="s">
        <v>20</v>
      </c>
      <c r="M147">
        <v>2</v>
      </c>
    </row>
    <row r="148" spans="1:13" x14ac:dyDescent="0.3">
      <c r="A148" t="s">
        <v>319</v>
      </c>
      <c r="B148" s="2">
        <v>46164</v>
      </c>
      <c r="C148" t="s">
        <v>320</v>
      </c>
      <c r="D148" t="s">
        <v>75</v>
      </c>
      <c r="E148" t="s">
        <v>31</v>
      </c>
      <c r="F148" t="s">
        <v>82</v>
      </c>
      <c r="G148" t="s">
        <v>50</v>
      </c>
      <c r="H148">
        <v>2</v>
      </c>
      <c r="I148">
        <v>2417</v>
      </c>
      <c r="J148">
        <v>25</v>
      </c>
      <c r="K148" t="s">
        <v>19</v>
      </c>
      <c r="L148" t="s">
        <v>139</v>
      </c>
      <c r="M148">
        <v>5</v>
      </c>
    </row>
    <row r="149" spans="1:13" x14ac:dyDescent="0.3">
      <c r="A149" t="s">
        <v>321</v>
      </c>
      <c r="B149" s="2">
        <v>46099</v>
      </c>
      <c r="C149" t="s">
        <v>322</v>
      </c>
      <c r="D149" t="s">
        <v>161</v>
      </c>
      <c r="E149" t="s">
        <v>31</v>
      </c>
      <c r="F149" t="s">
        <v>90</v>
      </c>
      <c r="G149" t="s">
        <v>18</v>
      </c>
      <c r="H149">
        <v>2</v>
      </c>
      <c r="I149">
        <v>51404</v>
      </c>
      <c r="J149">
        <v>20</v>
      </c>
      <c r="K149" t="s">
        <v>27</v>
      </c>
      <c r="L149" t="s">
        <v>46</v>
      </c>
      <c r="M149">
        <v>0</v>
      </c>
    </row>
    <row r="150" spans="1:13" x14ac:dyDescent="0.3">
      <c r="A150" t="s">
        <v>323</v>
      </c>
      <c r="B150" s="2">
        <v>46045</v>
      </c>
      <c r="C150" t="s">
        <v>215</v>
      </c>
      <c r="D150" t="s">
        <v>43</v>
      </c>
      <c r="E150" t="s">
        <v>40</v>
      </c>
      <c r="F150" t="s">
        <v>68</v>
      </c>
      <c r="G150" t="s">
        <v>26</v>
      </c>
      <c r="H150">
        <v>1</v>
      </c>
      <c r="I150">
        <v>1270</v>
      </c>
      <c r="J150">
        <v>5</v>
      </c>
      <c r="K150" t="s">
        <v>19</v>
      </c>
      <c r="L150" t="s">
        <v>20</v>
      </c>
      <c r="M150">
        <v>2</v>
      </c>
    </row>
    <row r="151" spans="1:13" x14ac:dyDescent="0.3">
      <c r="A151" t="s">
        <v>324</v>
      </c>
      <c r="B151" s="2">
        <v>46115</v>
      </c>
      <c r="C151" t="s">
        <v>325</v>
      </c>
      <c r="D151" t="s">
        <v>116</v>
      </c>
      <c r="E151" t="s">
        <v>40</v>
      </c>
      <c r="F151" t="s">
        <v>156</v>
      </c>
      <c r="G151" t="s">
        <v>18</v>
      </c>
      <c r="H151">
        <v>1</v>
      </c>
      <c r="I151">
        <v>4786</v>
      </c>
      <c r="J151">
        <v>0</v>
      </c>
      <c r="K151" t="s">
        <v>27</v>
      </c>
      <c r="L151" t="s">
        <v>20</v>
      </c>
      <c r="M151">
        <v>3</v>
      </c>
    </row>
    <row r="152" spans="1:13" x14ac:dyDescent="0.3">
      <c r="A152" t="s">
        <v>326</v>
      </c>
      <c r="B152" s="2">
        <v>46107</v>
      </c>
      <c r="C152" t="s">
        <v>327</v>
      </c>
      <c r="D152" t="s">
        <v>35</v>
      </c>
      <c r="E152" t="s">
        <v>65</v>
      </c>
      <c r="F152" t="s">
        <v>141</v>
      </c>
      <c r="G152" t="s">
        <v>50</v>
      </c>
      <c r="H152">
        <v>2</v>
      </c>
      <c r="I152">
        <v>1760</v>
      </c>
      <c r="J152">
        <v>0</v>
      </c>
      <c r="K152" t="s">
        <v>19</v>
      </c>
      <c r="L152" t="s">
        <v>20</v>
      </c>
      <c r="M152">
        <v>6</v>
      </c>
    </row>
    <row r="153" spans="1:13" x14ac:dyDescent="0.3">
      <c r="A153" t="s">
        <v>328</v>
      </c>
      <c r="B153" s="2">
        <v>46037</v>
      </c>
      <c r="C153" t="s">
        <v>108</v>
      </c>
      <c r="D153" t="s">
        <v>109</v>
      </c>
      <c r="E153" t="s">
        <v>31</v>
      </c>
      <c r="F153" t="s">
        <v>82</v>
      </c>
      <c r="G153" t="s">
        <v>50</v>
      </c>
      <c r="H153">
        <v>3</v>
      </c>
      <c r="I153">
        <v>1103</v>
      </c>
      <c r="J153">
        <v>0</v>
      </c>
      <c r="K153" t="s">
        <v>19</v>
      </c>
      <c r="L153" t="s">
        <v>20</v>
      </c>
      <c r="M153">
        <v>4</v>
      </c>
    </row>
    <row r="154" spans="1:13" x14ac:dyDescent="0.3">
      <c r="A154" t="s">
        <v>329</v>
      </c>
      <c r="B154" s="2">
        <v>46058</v>
      </c>
      <c r="C154" t="s">
        <v>330</v>
      </c>
      <c r="D154" t="s">
        <v>231</v>
      </c>
      <c r="E154" t="s">
        <v>65</v>
      </c>
      <c r="F154" t="s">
        <v>17</v>
      </c>
      <c r="G154" t="s">
        <v>18</v>
      </c>
      <c r="H154">
        <v>1</v>
      </c>
      <c r="I154">
        <v>22716</v>
      </c>
      <c r="J154">
        <v>0</v>
      </c>
      <c r="K154" t="s">
        <v>27</v>
      </c>
      <c r="L154" t="s">
        <v>20</v>
      </c>
      <c r="M154">
        <v>4</v>
      </c>
    </row>
    <row r="155" spans="1:13" x14ac:dyDescent="0.3">
      <c r="A155" t="s">
        <v>331</v>
      </c>
      <c r="B155" s="2">
        <v>46049</v>
      </c>
      <c r="C155" t="s">
        <v>332</v>
      </c>
      <c r="D155" t="s">
        <v>101</v>
      </c>
      <c r="E155" t="s">
        <v>65</v>
      </c>
      <c r="F155" t="s">
        <v>82</v>
      </c>
      <c r="G155" t="s">
        <v>50</v>
      </c>
      <c r="H155">
        <v>2</v>
      </c>
      <c r="I155">
        <v>519</v>
      </c>
      <c r="J155">
        <v>5</v>
      </c>
      <c r="K155" t="s">
        <v>91</v>
      </c>
      <c r="L155" t="s">
        <v>20</v>
      </c>
      <c r="M155">
        <v>2</v>
      </c>
    </row>
    <row r="156" spans="1:13" x14ac:dyDescent="0.3">
      <c r="A156" t="s">
        <v>333</v>
      </c>
      <c r="B156" s="2">
        <v>46096</v>
      </c>
      <c r="C156" t="s">
        <v>93</v>
      </c>
      <c r="D156" t="s">
        <v>94</v>
      </c>
      <c r="E156" t="s">
        <v>16</v>
      </c>
      <c r="F156" t="s">
        <v>156</v>
      </c>
      <c r="G156" t="s">
        <v>18</v>
      </c>
      <c r="H156">
        <v>1</v>
      </c>
      <c r="I156">
        <v>17337</v>
      </c>
      <c r="J156">
        <v>20</v>
      </c>
      <c r="K156" t="s">
        <v>27</v>
      </c>
      <c r="L156" t="s">
        <v>20</v>
      </c>
      <c r="M156">
        <v>4</v>
      </c>
    </row>
    <row r="157" spans="1:13" x14ac:dyDescent="0.3">
      <c r="A157" t="s">
        <v>334</v>
      </c>
      <c r="B157" s="2">
        <v>46151</v>
      </c>
      <c r="C157" t="s">
        <v>148</v>
      </c>
      <c r="D157" t="s">
        <v>149</v>
      </c>
      <c r="E157" t="s">
        <v>31</v>
      </c>
      <c r="F157" t="s">
        <v>62</v>
      </c>
      <c r="G157" t="s">
        <v>50</v>
      </c>
      <c r="H157">
        <v>1</v>
      </c>
      <c r="I157">
        <v>1176</v>
      </c>
      <c r="J157">
        <v>15</v>
      </c>
      <c r="K157" t="s">
        <v>56</v>
      </c>
      <c r="L157" t="s">
        <v>20</v>
      </c>
      <c r="M157">
        <v>4</v>
      </c>
    </row>
    <row r="158" spans="1:13" x14ac:dyDescent="0.3">
      <c r="A158" t="s">
        <v>335</v>
      </c>
      <c r="B158" s="2">
        <v>46143</v>
      </c>
      <c r="C158" t="s">
        <v>336</v>
      </c>
      <c r="D158" t="s">
        <v>184</v>
      </c>
      <c r="E158" t="s">
        <v>16</v>
      </c>
      <c r="F158" t="s">
        <v>72</v>
      </c>
      <c r="G158" t="s">
        <v>45</v>
      </c>
      <c r="H158">
        <v>1</v>
      </c>
      <c r="I158">
        <v>1400</v>
      </c>
      <c r="J158">
        <v>5</v>
      </c>
      <c r="K158" t="s">
        <v>56</v>
      </c>
      <c r="L158" t="s">
        <v>20</v>
      </c>
      <c r="M158">
        <v>1</v>
      </c>
    </row>
    <row r="159" spans="1:13" x14ac:dyDescent="0.3">
      <c r="A159" t="s">
        <v>337</v>
      </c>
      <c r="B159" s="2">
        <v>46111</v>
      </c>
      <c r="C159" t="s">
        <v>338</v>
      </c>
      <c r="D159" t="s">
        <v>61</v>
      </c>
      <c r="E159" t="s">
        <v>36</v>
      </c>
      <c r="F159" t="s">
        <v>49</v>
      </c>
      <c r="G159" t="s">
        <v>50</v>
      </c>
      <c r="H159">
        <v>1</v>
      </c>
      <c r="I159">
        <v>1906</v>
      </c>
      <c r="J159">
        <v>0</v>
      </c>
      <c r="K159" t="s">
        <v>56</v>
      </c>
      <c r="L159" t="s">
        <v>20</v>
      </c>
      <c r="M159">
        <v>3</v>
      </c>
    </row>
    <row r="160" spans="1:13" x14ac:dyDescent="0.3">
      <c r="A160" t="s">
        <v>339</v>
      </c>
      <c r="B160" s="2">
        <v>46059</v>
      </c>
      <c r="C160" t="s">
        <v>283</v>
      </c>
      <c r="D160" t="s">
        <v>35</v>
      </c>
      <c r="E160" t="s">
        <v>117</v>
      </c>
      <c r="F160" t="s">
        <v>62</v>
      </c>
      <c r="G160" t="s">
        <v>50</v>
      </c>
      <c r="H160">
        <v>1</v>
      </c>
      <c r="I160">
        <v>957</v>
      </c>
      <c r="J160">
        <v>10</v>
      </c>
      <c r="K160" t="s">
        <v>19</v>
      </c>
      <c r="L160" t="s">
        <v>20</v>
      </c>
      <c r="M160">
        <v>3</v>
      </c>
    </row>
    <row r="161" spans="1:13" x14ac:dyDescent="0.3">
      <c r="A161" t="s">
        <v>340</v>
      </c>
      <c r="B161" s="2">
        <v>46057</v>
      </c>
      <c r="C161" t="s">
        <v>341</v>
      </c>
      <c r="D161" t="s">
        <v>149</v>
      </c>
      <c r="E161" t="s">
        <v>117</v>
      </c>
      <c r="F161" t="s">
        <v>82</v>
      </c>
      <c r="G161" t="s">
        <v>50</v>
      </c>
      <c r="H161">
        <v>1</v>
      </c>
      <c r="I161">
        <v>1833</v>
      </c>
      <c r="J161">
        <v>15</v>
      </c>
      <c r="K161" t="s">
        <v>19</v>
      </c>
      <c r="L161" t="s">
        <v>20</v>
      </c>
      <c r="M161">
        <v>4</v>
      </c>
    </row>
    <row r="162" spans="1:13" x14ac:dyDescent="0.3">
      <c r="A162" t="s">
        <v>342</v>
      </c>
      <c r="B162" s="2">
        <v>46064</v>
      </c>
      <c r="C162" t="s">
        <v>305</v>
      </c>
      <c r="D162" t="s">
        <v>15</v>
      </c>
      <c r="E162" t="s">
        <v>65</v>
      </c>
      <c r="F162" t="s">
        <v>88</v>
      </c>
      <c r="G162" t="s">
        <v>26</v>
      </c>
      <c r="H162">
        <v>1</v>
      </c>
      <c r="I162">
        <v>607</v>
      </c>
      <c r="J162">
        <v>10</v>
      </c>
      <c r="K162" t="s">
        <v>19</v>
      </c>
      <c r="L162" t="s">
        <v>20</v>
      </c>
      <c r="M162">
        <v>4</v>
      </c>
    </row>
    <row r="163" spans="1:13" x14ac:dyDescent="0.3">
      <c r="A163" t="s">
        <v>343</v>
      </c>
      <c r="B163" s="2">
        <v>46191</v>
      </c>
      <c r="C163" t="s">
        <v>327</v>
      </c>
      <c r="D163" t="s">
        <v>35</v>
      </c>
      <c r="E163" t="s">
        <v>117</v>
      </c>
      <c r="F163" t="s">
        <v>190</v>
      </c>
      <c r="G163" t="s">
        <v>55</v>
      </c>
      <c r="H163">
        <v>2</v>
      </c>
      <c r="I163">
        <v>600</v>
      </c>
      <c r="J163">
        <v>0</v>
      </c>
      <c r="K163" t="s">
        <v>27</v>
      </c>
      <c r="L163" t="s">
        <v>20</v>
      </c>
      <c r="M163">
        <v>7</v>
      </c>
    </row>
    <row r="164" spans="1:13" x14ac:dyDescent="0.3">
      <c r="A164" t="s">
        <v>344</v>
      </c>
      <c r="B164" s="2">
        <v>46147</v>
      </c>
      <c r="C164" t="s">
        <v>345</v>
      </c>
      <c r="D164" t="s">
        <v>61</v>
      </c>
      <c r="E164" t="s">
        <v>40</v>
      </c>
      <c r="F164" t="s">
        <v>90</v>
      </c>
      <c r="G164" t="s">
        <v>18</v>
      </c>
      <c r="H164">
        <v>1</v>
      </c>
      <c r="I164">
        <v>40646</v>
      </c>
      <c r="J164">
        <v>5</v>
      </c>
      <c r="K164" t="s">
        <v>91</v>
      </c>
      <c r="L164" t="s">
        <v>20</v>
      </c>
      <c r="M164">
        <v>5</v>
      </c>
    </row>
    <row r="165" spans="1:13" x14ac:dyDescent="0.3">
      <c r="A165" t="s">
        <v>346</v>
      </c>
      <c r="B165" s="2">
        <v>46030</v>
      </c>
      <c r="C165" t="s">
        <v>302</v>
      </c>
      <c r="D165" t="s">
        <v>231</v>
      </c>
      <c r="E165" t="s">
        <v>117</v>
      </c>
      <c r="F165" t="s">
        <v>17</v>
      </c>
      <c r="G165" t="s">
        <v>18</v>
      </c>
      <c r="H165">
        <v>1</v>
      </c>
      <c r="I165">
        <v>22716</v>
      </c>
      <c r="J165">
        <v>15</v>
      </c>
      <c r="K165" t="s">
        <v>19</v>
      </c>
      <c r="L165" t="s">
        <v>20</v>
      </c>
      <c r="M165">
        <v>5</v>
      </c>
    </row>
    <row r="166" spans="1:13" x14ac:dyDescent="0.3">
      <c r="A166" t="s">
        <v>347</v>
      </c>
      <c r="B166" s="2">
        <v>46167</v>
      </c>
      <c r="C166" t="s">
        <v>348</v>
      </c>
      <c r="D166" t="s">
        <v>35</v>
      </c>
      <c r="E166" t="s">
        <v>31</v>
      </c>
      <c r="F166" t="s">
        <v>85</v>
      </c>
      <c r="G166" t="s">
        <v>45</v>
      </c>
      <c r="H166">
        <v>1</v>
      </c>
      <c r="I166">
        <v>900</v>
      </c>
      <c r="J166">
        <v>0</v>
      </c>
      <c r="K166" t="s">
        <v>91</v>
      </c>
      <c r="L166" t="s">
        <v>20</v>
      </c>
      <c r="M166">
        <v>1</v>
      </c>
    </row>
    <row r="167" spans="1:13" x14ac:dyDescent="0.3">
      <c r="A167" t="s">
        <v>349</v>
      </c>
      <c r="B167" s="2">
        <v>46130</v>
      </c>
      <c r="C167" t="s">
        <v>350</v>
      </c>
      <c r="D167" t="s">
        <v>149</v>
      </c>
      <c r="E167" t="s">
        <v>31</v>
      </c>
      <c r="F167" t="s">
        <v>141</v>
      </c>
      <c r="G167" t="s">
        <v>50</v>
      </c>
      <c r="H167">
        <v>1</v>
      </c>
      <c r="I167">
        <v>665</v>
      </c>
      <c r="J167">
        <v>15</v>
      </c>
      <c r="K167" t="s">
        <v>56</v>
      </c>
      <c r="L167" t="s">
        <v>20</v>
      </c>
      <c r="M167">
        <v>2</v>
      </c>
    </row>
    <row r="168" spans="1:13" x14ac:dyDescent="0.3">
      <c r="A168" t="s">
        <v>351</v>
      </c>
      <c r="B168" s="2">
        <v>46058</v>
      </c>
      <c r="C168" t="s">
        <v>352</v>
      </c>
      <c r="D168" t="s">
        <v>43</v>
      </c>
      <c r="E168" t="s">
        <v>31</v>
      </c>
      <c r="F168" t="s">
        <v>124</v>
      </c>
      <c r="G168" t="s">
        <v>55</v>
      </c>
      <c r="H168">
        <v>1</v>
      </c>
      <c r="I168">
        <v>1300</v>
      </c>
      <c r="J168">
        <v>20</v>
      </c>
      <c r="K168" t="s">
        <v>27</v>
      </c>
      <c r="L168" t="s">
        <v>20</v>
      </c>
      <c r="M168">
        <v>5</v>
      </c>
    </row>
    <row r="169" spans="1:13" x14ac:dyDescent="0.3">
      <c r="A169" t="s">
        <v>353</v>
      </c>
      <c r="B169" s="2">
        <v>46173</v>
      </c>
      <c r="C169" t="s">
        <v>290</v>
      </c>
      <c r="D169" t="s">
        <v>80</v>
      </c>
      <c r="E169" t="s">
        <v>24</v>
      </c>
      <c r="F169" t="s">
        <v>85</v>
      </c>
      <c r="G169" t="s">
        <v>45</v>
      </c>
      <c r="H169">
        <v>1</v>
      </c>
      <c r="I169">
        <v>1200</v>
      </c>
      <c r="J169">
        <v>25</v>
      </c>
      <c r="K169" t="s">
        <v>56</v>
      </c>
      <c r="L169" t="s">
        <v>20</v>
      </c>
      <c r="M169">
        <v>1</v>
      </c>
    </row>
    <row r="170" spans="1:13" x14ac:dyDescent="0.3">
      <c r="A170" t="s">
        <v>354</v>
      </c>
      <c r="B170" s="2">
        <v>46156</v>
      </c>
      <c r="C170" t="s">
        <v>355</v>
      </c>
      <c r="D170" t="s">
        <v>43</v>
      </c>
      <c r="E170" t="s">
        <v>36</v>
      </c>
      <c r="F170" t="s">
        <v>156</v>
      </c>
      <c r="G170" t="s">
        <v>18</v>
      </c>
      <c r="H170">
        <v>1</v>
      </c>
      <c r="I170">
        <v>26302</v>
      </c>
      <c r="J170">
        <v>0</v>
      </c>
      <c r="K170" t="s">
        <v>27</v>
      </c>
      <c r="L170" t="s">
        <v>20</v>
      </c>
      <c r="M170">
        <v>5</v>
      </c>
    </row>
    <row r="171" spans="1:13" x14ac:dyDescent="0.3">
      <c r="A171" t="s">
        <v>356</v>
      </c>
      <c r="B171" s="2">
        <v>46032</v>
      </c>
      <c r="C171" t="s">
        <v>212</v>
      </c>
      <c r="D171" t="s">
        <v>94</v>
      </c>
      <c r="E171" t="s">
        <v>16</v>
      </c>
      <c r="F171" t="s">
        <v>156</v>
      </c>
      <c r="G171" t="s">
        <v>18</v>
      </c>
      <c r="H171">
        <v>1</v>
      </c>
      <c r="I171">
        <v>6579</v>
      </c>
      <c r="J171">
        <v>0</v>
      </c>
      <c r="K171" t="s">
        <v>56</v>
      </c>
      <c r="L171" t="s">
        <v>20</v>
      </c>
      <c r="M171">
        <v>4</v>
      </c>
    </row>
    <row r="172" spans="1:13" x14ac:dyDescent="0.3">
      <c r="A172" t="s">
        <v>357</v>
      </c>
      <c r="B172" s="2">
        <v>46047</v>
      </c>
      <c r="C172" t="s">
        <v>143</v>
      </c>
      <c r="D172" t="s">
        <v>101</v>
      </c>
      <c r="E172" t="s">
        <v>81</v>
      </c>
      <c r="F172" t="s">
        <v>17</v>
      </c>
      <c r="G172" t="s">
        <v>18</v>
      </c>
      <c r="H172">
        <v>1</v>
      </c>
      <c r="I172">
        <v>2993</v>
      </c>
      <c r="J172">
        <v>5</v>
      </c>
      <c r="K172" t="s">
        <v>19</v>
      </c>
      <c r="L172" t="s">
        <v>20</v>
      </c>
      <c r="M172">
        <v>3</v>
      </c>
    </row>
    <row r="173" spans="1:13" x14ac:dyDescent="0.3">
      <c r="A173" t="s">
        <v>358</v>
      </c>
      <c r="B173" s="2">
        <v>46118</v>
      </c>
      <c r="C173" t="s">
        <v>318</v>
      </c>
      <c r="D173" t="s">
        <v>30</v>
      </c>
      <c r="E173" t="s">
        <v>117</v>
      </c>
      <c r="F173" t="s">
        <v>122</v>
      </c>
      <c r="G173" t="s">
        <v>45</v>
      </c>
      <c r="H173">
        <v>1</v>
      </c>
      <c r="I173">
        <v>1000</v>
      </c>
      <c r="J173">
        <v>20</v>
      </c>
      <c r="K173" t="s">
        <v>19</v>
      </c>
      <c r="L173" t="s">
        <v>20</v>
      </c>
      <c r="M173">
        <v>1</v>
      </c>
    </row>
    <row r="174" spans="1:13" x14ac:dyDescent="0.3">
      <c r="A174" t="s">
        <v>359</v>
      </c>
      <c r="B174" s="2">
        <v>46027</v>
      </c>
      <c r="C174" t="s">
        <v>360</v>
      </c>
      <c r="D174" t="s">
        <v>116</v>
      </c>
      <c r="E174" t="s">
        <v>16</v>
      </c>
      <c r="F174" t="s">
        <v>124</v>
      </c>
      <c r="G174" t="s">
        <v>55</v>
      </c>
      <c r="H174">
        <v>4</v>
      </c>
      <c r="I174">
        <v>3400</v>
      </c>
      <c r="J174">
        <v>0</v>
      </c>
      <c r="K174" t="s">
        <v>27</v>
      </c>
      <c r="L174" t="s">
        <v>139</v>
      </c>
      <c r="M174">
        <v>6</v>
      </c>
    </row>
    <row r="175" spans="1:13" x14ac:dyDescent="0.3">
      <c r="A175" t="s">
        <v>361</v>
      </c>
      <c r="B175" s="2">
        <v>46159</v>
      </c>
      <c r="C175" t="s">
        <v>330</v>
      </c>
      <c r="D175" t="s">
        <v>231</v>
      </c>
      <c r="E175" t="s">
        <v>36</v>
      </c>
      <c r="F175" t="s">
        <v>213</v>
      </c>
      <c r="G175" t="s">
        <v>18</v>
      </c>
      <c r="H175">
        <v>2</v>
      </c>
      <c r="I175">
        <v>11958</v>
      </c>
      <c r="J175">
        <v>0</v>
      </c>
      <c r="K175" t="s">
        <v>27</v>
      </c>
      <c r="L175" t="s">
        <v>139</v>
      </c>
      <c r="M175">
        <v>4</v>
      </c>
    </row>
    <row r="176" spans="1:13" x14ac:dyDescent="0.3">
      <c r="A176" t="s">
        <v>362</v>
      </c>
      <c r="B176" s="2">
        <v>46074</v>
      </c>
      <c r="C176" t="s">
        <v>207</v>
      </c>
      <c r="D176" t="s">
        <v>53</v>
      </c>
      <c r="E176" t="s">
        <v>117</v>
      </c>
      <c r="F176" t="s">
        <v>25</v>
      </c>
      <c r="G176" t="s">
        <v>26</v>
      </c>
      <c r="H176">
        <v>2</v>
      </c>
      <c r="I176">
        <v>1780</v>
      </c>
      <c r="J176">
        <v>5</v>
      </c>
      <c r="K176" t="s">
        <v>27</v>
      </c>
      <c r="L176" t="s">
        <v>20</v>
      </c>
      <c r="M176">
        <v>4</v>
      </c>
    </row>
    <row r="177" spans="1:13" x14ac:dyDescent="0.3">
      <c r="A177" t="s">
        <v>363</v>
      </c>
      <c r="B177" s="2">
        <v>46114</v>
      </c>
      <c r="C177" t="s">
        <v>153</v>
      </c>
      <c r="D177" t="s">
        <v>80</v>
      </c>
      <c r="E177" t="s">
        <v>40</v>
      </c>
      <c r="F177" t="s">
        <v>17</v>
      </c>
      <c r="G177" t="s">
        <v>18</v>
      </c>
      <c r="H177">
        <v>3</v>
      </c>
      <c r="I177">
        <v>38853</v>
      </c>
      <c r="J177">
        <v>5</v>
      </c>
      <c r="K177" t="s">
        <v>19</v>
      </c>
      <c r="L177" t="s">
        <v>20</v>
      </c>
      <c r="M177">
        <v>4</v>
      </c>
    </row>
    <row r="178" spans="1:13" x14ac:dyDescent="0.3">
      <c r="A178" t="s">
        <v>364</v>
      </c>
      <c r="B178" s="2">
        <v>46142</v>
      </c>
      <c r="C178" t="s">
        <v>84</v>
      </c>
      <c r="D178" t="s">
        <v>35</v>
      </c>
      <c r="E178" t="s">
        <v>40</v>
      </c>
      <c r="F178" t="s">
        <v>17</v>
      </c>
      <c r="G178" t="s">
        <v>18</v>
      </c>
      <c r="H178">
        <v>1</v>
      </c>
      <c r="I178">
        <v>46025</v>
      </c>
      <c r="J178">
        <v>25</v>
      </c>
      <c r="K178" t="s">
        <v>56</v>
      </c>
      <c r="L178" t="s">
        <v>46</v>
      </c>
      <c r="M178">
        <v>0</v>
      </c>
    </row>
    <row r="179" spans="1:13" x14ac:dyDescent="0.3">
      <c r="A179" t="s">
        <v>365</v>
      </c>
      <c r="B179" s="2">
        <v>46161</v>
      </c>
      <c r="C179" t="s">
        <v>352</v>
      </c>
      <c r="D179" t="s">
        <v>43</v>
      </c>
      <c r="E179" t="s">
        <v>40</v>
      </c>
      <c r="F179" t="s">
        <v>113</v>
      </c>
      <c r="G179" t="s">
        <v>26</v>
      </c>
      <c r="H179">
        <v>1</v>
      </c>
      <c r="I179">
        <v>1525</v>
      </c>
      <c r="J179">
        <v>20</v>
      </c>
      <c r="K179" t="s">
        <v>19</v>
      </c>
      <c r="L179" t="s">
        <v>20</v>
      </c>
      <c r="M179">
        <v>4</v>
      </c>
    </row>
    <row r="180" spans="1:13" x14ac:dyDescent="0.3">
      <c r="A180" t="s">
        <v>366</v>
      </c>
      <c r="B180" s="2">
        <v>46179</v>
      </c>
      <c r="C180" t="s">
        <v>367</v>
      </c>
      <c r="D180" t="s">
        <v>15</v>
      </c>
      <c r="E180" t="s">
        <v>40</v>
      </c>
      <c r="F180" t="s">
        <v>113</v>
      </c>
      <c r="G180" t="s">
        <v>26</v>
      </c>
      <c r="H180">
        <v>3</v>
      </c>
      <c r="I180">
        <v>1066</v>
      </c>
      <c r="J180">
        <v>15</v>
      </c>
      <c r="K180" t="s">
        <v>19</v>
      </c>
      <c r="L180" t="s">
        <v>20</v>
      </c>
      <c r="M180">
        <v>1</v>
      </c>
    </row>
    <row r="181" spans="1:13" x14ac:dyDescent="0.3">
      <c r="A181" t="s">
        <v>368</v>
      </c>
      <c r="B181" s="2">
        <v>46080</v>
      </c>
      <c r="C181" t="s">
        <v>121</v>
      </c>
      <c r="D181" t="s">
        <v>109</v>
      </c>
      <c r="E181" t="s">
        <v>31</v>
      </c>
      <c r="F181" t="s">
        <v>88</v>
      </c>
      <c r="G181" t="s">
        <v>26</v>
      </c>
      <c r="H181">
        <v>1</v>
      </c>
      <c r="I181">
        <v>760</v>
      </c>
      <c r="J181">
        <v>5</v>
      </c>
      <c r="K181" t="s">
        <v>27</v>
      </c>
      <c r="L181" t="s">
        <v>20</v>
      </c>
      <c r="M181">
        <v>2</v>
      </c>
    </row>
    <row r="182" spans="1:13" x14ac:dyDescent="0.3">
      <c r="A182" t="s">
        <v>369</v>
      </c>
      <c r="B182" s="2">
        <v>46109</v>
      </c>
      <c r="C182" t="s">
        <v>370</v>
      </c>
      <c r="D182" t="s">
        <v>231</v>
      </c>
      <c r="E182" t="s">
        <v>40</v>
      </c>
      <c r="F182" t="s">
        <v>32</v>
      </c>
      <c r="G182" t="s">
        <v>18</v>
      </c>
      <c r="H182">
        <v>1</v>
      </c>
      <c r="I182">
        <v>1200</v>
      </c>
      <c r="J182">
        <v>0</v>
      </c>
      <c r="K182" t="s">
        <v>19</v>
      </c>
      <c r="L182" t="s">
        <v>20</v>
      </c>
      <c r="M182">
        <v>5</v>
      </c>
    </row>
    <row r="183" spans="1:13" x14ac:dyDescent="0.3">
      <c r="A183" t="s">
        <v>371</v>
      </c>
      <c r="B183" s="2">
        <v>46039</v>
      </c>
      <c r="C183" t="s">
        <v>372</v>
      </c>
      <c r="D183" t="s">
        <v>101</v>
      </c>
      <c r="E183" t="s">
        <v>24</v>
      </c>
      <c r="F183" t="s">
        <v>25</v>
      </c>
      <c r="G183" t="s">
        <v>26</v>
      </c>
      <c r="H183">
        <v>1</v>
      </c>
      <c r="I183">
        <v>1780</v>
      </c>
      <c r="J183">
        <v>5</v>
      </c>
      <c r="K183" t="s">
        <v>56</v>
      </c>
      <c r="L183" t="s">
        <v>20</v>
      </c>
      <c r="M183">
        <v>3</v>
      </c>
    </row>
    <row r="184" spans="1:13" x14ac:dyDescent="0.3">
      <c r="A184" t="s">
        <v>373</v>
      </c>
      <c r="B184" s="2">
        <v>46073</v>
      </c>
      <c r="C184" t="s">
        <v>374</v>
      </c>
      <c r="D184" t="s">
        <v>109</v>
      </c>
      <c r="E184" t="s">
        <v>36</v>
      </c>
      <c r="F184" t="s">
        <v>90</v>
      </c>
      <c r="G184" t="s">
        <v>18</v>
      </c>
      <c r="H184">
        <v>1</v>
      </c>
      <c r="I184">
        <v>10165</v>
      </c>
      <c r="J184">
        <v>10</v>
      </c>
      <c r="K184" t="s">
        <v>56</v>
      </c>
      <c r="L184" t="s">
        <v>20</v>
      </c>
      <c r="M184">
        <v>2</v>
      </c>
    </row>
    <row r="185" spans="1:13" x14ac:dyDescent="0.3">
      <c r="A185" t="s">
        <v>375</v>
      </c>
      <c r="B185" s="2">
        <v>46191</v>
      </c>
      <c r="C185" t="s">
        <v>376</v>
      </c>
      <c r="D185" t="s">
        <v>43</v>
      </c>
      <c r="E185" t="s">
        <v>24</v>
      </c>
      <c r="F185" t="s">
        <v>124</v>
      </c>
      <c r="G185" t="s">
        <v>55</v>
      </c>
      <c r="H185">
        <v>2</v>
      </c>
      <c r="I185">
        <v>1400</v>
      </c>
      <c r="J185">
        <v>5</v>
      </c>
      <c r="K185" t="s">
        <v>91</v>
      </c>
      <c r="L185" t="s">
        <v>20</v>
      </c>
      <c r="M185">
        <v>3</v>
      </c>
    </row>
    <row r="186" spans="1:13" x14ac:dyDescent="0.3">
      <c r="A186" t="s">
        <v>377</v>
      </c>
      <c r="B186" s="2">
        <v>46117</v>
      </c>
      <c r="C186" t="s">
        <v>316</v>
      </c>
      <c r="D186" t="s">
        <v>94</v>
      </c>
      <c r="E186" t="s">
        <v>40</v>
      </c>
      <c r="F186" t="s">
        <v>82</v>
      </c>
      <c r="G186" t="s">
        <v>50</v>
      </c>
      <c r="H186">
        <v>1</v>
      </c>
      <c r="I186">
        <v>1030</v>
      </c>
      <c r="J186">
        <v>0</v>
      </c>
      <c r="K186" t="s">
        <v>27</v>
      </c>
      <c r="L186" t="s">
        <v>20</v>
      </c>
      <c r="M186">
        <v>5</v>
      </c>
    </row>
    <row r="187" spans="1:13" x14ac:dyDescent="0.3">
      <c r="A187" t="s">
        <v>378</v>
      </c>
      <c r="B187" s="2">
        <v>46044</v>
      </c>
      <c r="C187" t="s">
        <v>292</v>
      </c>
      <c r="D187" t="s">
        <v>98</v>
      </c>
      <c r="E187" t="s">
        <v>31</v>
      </c>
      <c r="F187" t="s">
        <v>122</v>
      </c>
      <c r="G187" t="s">
        <v>45</v>
      </c>
      <c r="H187">
        <v>3</v>
      </c>
      <c r="I187">
        <v>1050</v>
      </c>
      <c r="J187">
        <v>10</v>
      </c>
      <c r="K187" t="s">
        <v>19</v>
      </c>
      <c r="L187" t="s">
        <v>20</v>
      </c>
      <c r="M187">
        <v>1</v>
      </c>
    </row>
    <row r="188" spans="1:13" x14ac:dyDescent="0.3">
      <c r="A188" t="s">
        <v>379</v>
      </c>
      <c r="B188" s="2">
        <v>46061</v>
      </c>
      <c r="C188" t="s">
        <v>64</v>
      </c>
      <c r="D188" t="s">
        <v>39</v>
      </c>
      <c r="E188" t="s">
        <v>16</v>
      </c>
      <c r="F188" t="s">
        <v>44</v>
      </c>
      <c r="G188" t="s">
        <v>45</v>
      </c>
      <c r="H188">
        <v>2</v>
      </c>
      <c r="I188">
        <v>1150</v>
      </c>
      <c r="J188">
        <v>10</v>
      </c>
      <c r="K188" t="s">
        <v>56</v>
      </c>
      <c r="L188" t="s">
        <v>20</v>
      </c>
      <c r="M188">
        <v>2</v>
      </c>
    </row>
    <row r="189" spans="1:13" x14ac:dyDescent="0.3">
      <c r="A189" t="s">
        <v>380</v>
      </c>
      <c r="B189" s="2">
        <v>46172</v>
      </c>
      <c r="C189" t="s">
        <v>381</v>
      </c>
      <c r="D189" t="s">
        <v>53</v>
      </c>
      <c r="E189" t="s">
        <v>24</v>
      </c>
      <c r="F189" t="s">
        <v>95</v>
      </c>
      <c r="G189" t="s">
        <v>45</v>
      </c>
      <c r="H189">
        <v>1</v>
      </c>
      <c r="I189">
        <v>750</v>
      </c>
      <c r="J189">
        <v>0</v>
      </c>
      <c r="K189" t="s">
        <v>56</v>
      </c>
      <c r="L189" t="s">
        <v>20</v>
      </c>
      <c r="M189">
        <v>3</v>
      </c>
    </row>
    <row r="190" spans="1:13" x14ac:dyDescent="0.3">
      <c r="A190" t="s">
        <v>382</v>
      </c>
      <c r="B190" s="2">
        <v>46173</v>
      </c>
      <c r="C190" t="s">
        <v>189</v>
      </c>
      <c r="D190" t="s">
        <v>30</v>
      </c>
      <c r="E190" t="s">
        <v>16</v>
      </c>
      <c r="F190" t="s">
        <v>383</v>
      </c>
      <c r="G190" t="s">
        <v>26</v>
      </c>
      <c r="H190">
        <v>1</v>
      </c>
      <c r="I190">
        <v>454</v>
      </c>
      <c r="J190">
        <v>10</v>
      </c>
      <c r="K190" t="s">
        <v>19</v>
      </c>
      <c r="L190" t="s">
        <v>20</v>
      </c>
      <c r="M190">
        <v>3</v>
      </c>
    </row>
    <row r="191" spans="1:13" x14ac:dyDescent="0.3">
      <c r="A191" t="s">
        <v>384</v>
      </c>
      <c r="B191" s="2">
        <v>46047</v>
      </c>
      <c r="C191" t="s">
        <v>348</v>
      </c>
      <c r="D191" t="s">
        <v>35</v>
      </c>
      <c r="E191" t="s">
        <v>16</v>
      </c>
      <c r="F191" t="s">
        <v>90</v>
      </c>
      <c r="G191" t="s">
        <v>18</v>
      </c>
      <c r="H191">
        <v>1</v>
      </c>
      <c r="I191">
        <v>46025</v>
      </c>
      <c r="J191">
        <v>5</v>
      </c>
      <c r="K191" t="s">
        <v>56</v>
      </c>
      <c r="L191" t="s">
        <v>139</v>
      </c>
      <c r="M191">
        <v>4</v>
      </c>
    </row>
    <row r="192" spans="1:13" x14ac:dyDescent="0.3">
      <c r="A192" t="s">
        <v>385</v>
      </c>
      <c r="B192" s="2">
        <v>46086</v>
      </c>
      <c r="C192" t="s">
        <v>64</v>
      </c>
      <c r="D192" t="s">
        <v>39</v>
      </c>
      <c r="E192" t="s">
        <v>16</v>
      </c>
      <c r="F192" t="s">
        <v>90</v>
      </c>
      <c r="G192" t="s">
        <v>18</v>
      </c>
      <c r="H192">
        <v>2</v>
      </c>
      <c r="I192">
        <v>37060</v>
      </c>
      <c r="J192">
        <v>10</v>
      </c>
      <c r="K192" t="s">
        <v>19</v>
      </c>
      <c r="L192" t="s">
        <v>20</v>
      </c>
      <c r="M192">
        <v>4</v>
      </c>
    </row>
    <row r="193" spans="1:13" x14ac:dyDescent="0.3">
      <c r="A193" t="s">
        <v>386</v>
      </c>
      <c r="B193" s="2">
        <v>46112</v>
      </c>
      <c r="C193" t="s">
        <v>305</v>
      </c>
      <c r="D193" t="s">
        <v>15</v>
      </c>
      <c r="E193" t="s">
        <v>16</v>
      </c>
      <c r="F193" t="s">
        <v>68</v>
      </c>
      <c r="G193" t="s">
        <v>26</v>
      </c>
      <c r="H193">
        <v>2</v>
      </c>
      <c r="I193">
        <v>301</v>
      </c>
      <c r="J193">
        <v>10</v>
      </c>
      <c r="K193" t="s">
        <v>56</v>
      </c>
      <c r="L193" t="s">
        <v>20</v>
      </c>
      <c r="M193">
        <v>4</v>
      </c>
    </row>
    <row r="194" spans="1:13" x14ac:dyDescent="0.3">
      <c r="A194" t="s">
        <v>387</v>
      </c>
      <c r="B194" s="2">
        <v>46078</v>
      </c>
      <c r="C194" t="s">
        <v>179</v>
      </c>
      <c r="D194" t="s">
        <v>23</v>
      </c>
      <c r="E194" t="s">
        <v>40</v>
      </c>
      <c r="F194" t="s">
        <v>17</v>
      </c>
      <c r="G194" t="s">
        <v>18</v>
      </c>
      <c r="H194">
        <v>2</v>
      </c>
      <c r="I194">
        <v>6579</v>
      </c>
      <c r="J194">
        <v>20</v>
      </c>
      <c r="K194" t="s">
        <v>27</v>
      </c>
      <c r="L194" t="s">
        <v>20</v>
      </c>
      <c r="M194">
        <v>6</v>
      </c>
    </row>
    <row r="195" spans="1:13" x14ac:dyDescent="0.3">
      <c r="A195" t="s">
        <v>388</v>
      </c>
      <c r="B195" s="2">
        <v>46060</v>
      </c>
      <c r="C195" t="s">
        <v>389</v>
      </c>
      <c r="D195" t="s">
        <v>43</v>
      </c>
      <c r="E195" t="s">
        <v>36</v>
      </c>
      <c r="F195" t="s">
        <v>17</v>
      </c>
      <c r="G195" t="s">
        <v>18</v>
      </c>
      <c r="H195">
        <v>1</v>
      </c>
      <c r="I195">
        <v>35267</v>
      </c>
      <c r="J195">
        <v>20</v>
      </c>
      <c r="K195" t="s">
        <v>27</v>
      </c>
      <c r="L195" t="s">
        <v>20</v>
      </c>
      <c r="M195">
        <v>3</v>
      </c>
    </row>
    <row r="196" spans="1:13" x14ac:dyDescent="0.3">
      <c r="A196" t="s">
        <v>390</v>
      </c>
      <c r="B196" s="2">
        <v>46077</v>
      </c>
      <c r="C196" t="s">
        <v>264</v>
      </c>
      <c r="D196" t="s">
        <v>71</v>
      </c>
      <c r="E196" t="s">
        <v>81</v>
      </c>
      <c r="F196" t="s">
        <v>90</v>
      </c>
      <c r="G196" t="s">
        <v>18</v>
      </c>
      <c r="H196">
        <v>2</v>
      </c>
      <c r="I196">
        <v>53197</v>
      </c>
      <c r="J196">
        <v>5</v>
      </c>
      <c r="K196" t="s">
        <v>56</v>
      </c>
      <c r="L196" t="s">
        <v>20</v>
      </c>
      <c r="M196">
        <v>5</v>
      </c>
    </row>
    <row r="197" spans="1:13" x14ac:dyDescent="0.3">
      <c r="A197" t="s">
        <v>391</v>
      </c>
      <c r="B197" s="2">
        <v>46181</v>
      </c>
      <c r="C197" t="s">
        <v>74</v>
      </c>
      <c r="D197" t="s">
        <v>75</v>
      </c>
      <c r="E197" t="s">
        <v>16</v>
      </c>
      <c r="F197" t="s">
        <v>135</v>
      </c>
      <c r="G197" t="s">
        <v>50</v>
      </c>
      <c r="H197">
        <v>1</v>
      </c>
      <c r="I197">
        <v>519</v>
      </c>
      <c r="J197">
        <v>15</v>
      </c>
      <c r="K197" t="s">
        <v>19</v>
      </c>
      <c r="L197" t="s">
        <v>20</v>
      </c>
      <c r="M197">
        <v>3</v>
      </c>
    </row>
    <row r="198" spans="1:13" x14ac:dyDescent="0.3">
      <c r="A198" t="s">
        <v>392</v>
      </c>
      <c r="B198" s="2">
        <v>46069</v>
      </c>
      <c r="C198" t="s">
        <v>67</v>
      </c>
      <c r="D198" t="s">
        <v>53</v>
      </c>
      <c r="E198" t="s">
        <v>24</v>
      </c>
      <c r="F198" t="s">
        <v>95</v>
      </c>
      <c r="G198" t="s">
        <v>45</v>
      </c>
      <c r="H198">
        <v>1</v>
      </c>
      <c r="I198">
        <v>150</v>
      </c>
      <c r="J198">
        <v>10</v>
      </c>
      <c r="K198" t="s">
        <v>56</v>
      </c>
      <c r="L198" t="s">
        <v>20</v>
      </c>
      <c r="M198">
        <v>3</v>
      </c>
    </row>
    <row r="199" spans="1:13" x14ac:dyDescent="0.3">
      <c r="A199" t="s">
        <v>393</v>
      </c>
      <c r="B199" s="2">
        <v>46125</v>
      </c>
      <c r="C199" t="s">
        <v>165</v>
      </c>
      <c r="D199" t="s">
        <v>80</v>
      </c>
      <c r="E199" t="s">
        <v>117</v>
      </c>
      <c r="F199" t="s">
        <v>49</v>
      </c>
      <c r="G199" t="s">
        <v>50</v>
      </c>
      <c r="H199">
        <v>1</v>
      </c>
      <c r="I199">
        <v>1687</v>
      </c>
      <c r="J199">
        <v>5</v>
      </c>
      <c r="K199" t="s">
        <v>19</v>
      </c>
      <c r="L199" t="s">
        <v>20</v>
      </c>
      <c r="M199">
        <v>3</v>
      </c>
    </row>
    <row r="200" spans="1:13" x14ac:dyDescent="0.3">
      <c r="A200" t="s">
        <v>394</v>
      </c>
      <c r="B200" s="2">
        <v>46103</v>
      </c>
      <c r="C200" t="s">
        <v>395</v>
      </c>
      <c r="D200" t="s">
        <v>109</v>
      </c>
      <c r="E200" t="s">
        <v>65</v>
      </c>
      <c r="F200" t="s">
        <v>383</v>
      </c>
      <c r="G200" t="s">
        <v>26</v>
      </c>
      <c r="H200">
        <v>2</v>
      </c>
      <c r="I200">
        <v>709</v>
      </c>
      <c r="J200">
        <v>5</v>
      </c>
      <c r="K200" t="s">
        <v>19</v>
      </c>
      <c r="L200" t="s">
        <v>20</v>
      </c>
      <c r="M200">
        <v>1</v>
      </c>
    </row>
    <row r="201" spans="1:13" x14ac:dyDescent="0.3">
      <c r="A201" t="s">
        <v>396</v>
      </c>
      <c r="B201" s="2">
        <v>46122</v>
      </c>
      <c r="C201" t="s">
        <v>215</v>
      </c>
      <c r="D201" t="s">
        <v>43</v>
      </c>
      <c r="E201" t="s">
        <v>36</v>
      </c>
      <c r="F201" t="s">
        <v>90</v>
      </c>
      <c r="G201" t="s">
        <v>18</v>
      </c>
      <c r="H201">
        <v>1</v>
      </c>
      <c r="I201">
        <v>4786</v>
      </c>
      <c r="J201">
        <v>15</v>
      </c>
      <c r="K201" t="s">
        <v>56</v>
      </c>
      <c r="L201" t="s">
        <v>20</v>
      </c>
      <c r="M201">
        <v>2</v>
      </c>
    </row>
    <row r="202" spans="1:13" x14ac:dyDescent="0.3">
      <c r="A202" t="s">
        <v>397</v>
      </c>
      <c r="B202" s="2">
        <v>46130</v>
      </c>
      <c r="C202" t="s">
        <v>252</v>
      </c>
      <c r="D202" t="s">
        <v>94</v>
      </c>
      <c r="E202" t="s">
        <v>36</v>
      </c>
      <c r="F202" t="s">
        <v>68</v>
      </c>
      <c r="G202" t="s">
        <v>26</v>
      </c>
      <c r="H202">
        <v>1</v>
      </c>
      <c r="I202">
        <v>403</v>
      </c>
      <c r="J202">
        <v>5</v>
      </c>
      <c r="K202" t="s">
        <v>19</v>
      </c>
      <c r="L202" t="s">
        <v>20</v>
      </c>
      <c r="M202">
        <v>1</v>
      </c>
    </row>
    <row r="203" spans="1:13" x14ac:dyDescent="0.3">
      <c r="A203" t="s">
        <v>398</v>
      </c>
      <c r="B203" s="2">
        <v>46142</v>
      </c>
      <c r="C203" t="s">
        <v>34</v>
      </c>
      <c r="D203" t="s">
        <v>35</v>
      </c>
      <c r="E203" t="s">
        <v>24</v>
      </c>
      <c r="F203" t="s">
        <v>124</v>
      </c>
      <c r="G203" t="s">
        <v>55</v>
      </c>
      <c r="H203">
        <v>2</v>
      </c>
      <c r="I203">
        <v>2900</v>
      </c>
      <c r="J203">
        <v>0</v>
      </c>
      <c r="K203" t="s">
        <v>27</v>
      </c>
      <c r="L203" t="s">
        <v>20</v>
      </c>
      <c r="M203">
        <v>3</v>
      </c>
    </row>
    <row r="204" spans="1:13" x14ac:dyDescent="0.3">
      <c r="A204" t="s">
        <v>399</v>
      </c>
      <c r="B204" s="2">
        <v>46104</v>
      </c>
      <c r="C204" t="s">
        <v>400</v>
      </c>
      <c r="D204" t="s">
        <v>116</v>
      </c>
      <c r="E204" t="s">
        <v>65</v>
      </c>
      <c r="F204" t="s">
        <v>32</v>
      </c>
      <c r="G204" t="s">
        <v>18</v>
      </c>
      <c r="H204">
        <v>1</v>
      </c>
      <c r="I204">
        <v>31681</v>
      </c>
      <c r="J204">
        <v>5</v>
      </c>
      <c r="K204" t="s">
        <v>56</v>
      </c>
      <c r="L204" t="s">
        <v>20</v>
      </c>
      <c r="M204">
        <v>4</v>
      </c>
    </row>
    <row r="205" spans="1:13" x14ac:dyDescent="0.3">
      <c r="A205" t="s">
        <v>401</v>
      </c>
      <c r="B205" s="2">
        <v>46198</v>
      </c>
      <c r="C205" t="s">
        <v>248</v>
      </c>
      <c r="D205" t="s">
        <v>30</v>
      </c>
      <c r="E205" t="s">
        <v>24</v>
      </c>
      <c r="F205" t="s">
        <v>32</v>
      </c>
      <c r="G205" t="s">
        <v>18</v>
      </c>
      <c r="H205">
        <v>1</v>
      </c>
      <c r="I205">
        <v>42439</v>
      </c>
      <c r="J205">
        <v>15</v>
      </c>
      <c r="K205" t="s">
        <v>91</v>
      </c>
      <c r="L205" t="s">
        <v>20</v>
      </c>
      <c r="M205">
        <v>4</v>
      </c>
    </row>
    <row r="206" spans="1:13" x14ac:dyDescent="0.3">
      <c r="A206" t="s">
        <v>402</v>
      </c>
      <c r="B206" s="2">
        <v>46109</v>
      </c>
      <c r="C206" t="s">
        <v>403</v>
      </c>
      <c r="D206" t="s">
        <v>30</v>
      </c>
      <c r="E206" t="s">
        <v>36</v>
      </c>
      <c r="F206" t="s">
        <v>62</v>
      </c>
      <c r="G206" t="s">
        <v>50</v>
      </c>
      <c r="H206">
        <v>4</v>
      </c>
      <c r="I206">
        <v>1614</v>
      </c>
      <c r="J206">
        <v>10</v>
      </c>
      <c r="K206" t="s">
        <v>19</v>
      </c>
      <c r="L206" t="s">
        <v>20</v>
      </c>
      <c r="M206">
        <v>3</v>
      </c>
    </row>
    <row r="207" spans="1:13" x14ac:dyDescent="0.3">
      <c r="A207" t="s">
        <v>404</v>
      </c>
      <c r="B207" s="2">
        <v>46108</v>
      </c>
      <c r="C207" t="s">
        <v>111</v>
      </c>
      <c r="D207" t="s">
        <v>71</v>
      </c>
      <c r="E207" t="s">
        <v>117</v>
      </c>
      <c r="F207" t="s">
        <v>135</v>
      </c>
      <c r="G207" t="s">
        <v>50</v>
      </c>
      <c r="H207">
        <v>2</v>
      </c>
      <c r="I207">
        <v>2344</v>
      </c>
      <c r="J207">
        <v>15</v>
      </c>
      <c r="K207" t="s">
        <v>19</v>
      </c>
      <c r="L207" t="s">
        <v>20</v>
      </c>
      <c r="M207">
        <v>3</v>
      </c>
    </row>
    <row r="208" spans="1:13" x14ac:dyDescent="0.3">
      <c r="A208" t="s">
        <v>405</v>
      </c>
      <c r="B208" s="2">
        <v>46120</v>
      </c>
      <c r="C208" t="s">
        <v>406</v>
      </c>
      <c r="D208" t="s">
        <v>109</v>
      </c>
      <c r="E208" t="s">
        <v>36</v>
      </c>
      <c r="F208" t="s">
        <v>127</v>
      </c>
      <c r="G208" t="s">
        <v>55</v>
      </c>
      <c r="H208">
        <v>1</v>
      </c>
      <c r="I208">
        <v>1400</v>
      </c>
      <c r="J208">
        <v>20</v>
      </c>
      <c r="K208" t="s">
        <v>56</v>
      </c>
      <c r="L208" t="s">
        <v>20</v>
      </c>
      <c r="M208">
        <v>1</v>
      </c>
    </row>
    <row r="209" spans="1:13" x14ac:dyDescent="0.3">
      <c r="A209" t="s">
        <v>407</v>
      </c>
      <c r="B209" s="2">
        <v>46189</v>
      </c>
      <c r="C209" t="s">
        <v>52</v>
      </c>
      <c r="D209" t="s">
        <v>53</v>
      </c>
      <c r="E209" t="s">
        <v>117</v>
      </c>
      <c r="F209" t="s">
        <v>32</v>
      </c>
      <c r="G209" t="s">
        <v>18</v>
      </c>
      <c r="H209">
        <v>1</v>
      </c>
      <c r="I209">
        <v>47818</v>
      </c>
      <c r="J209">
        <v>0</v>
      </c>
      <c r="K209" t="s">
        <v>56</v>
      </c>
      <c r="L209" t="s">
        <v>20</v>
      </c>
      <c r="M209">
        <v>2</v>
      </c>
    </row>
    <row r="210" spans="1:13" x14ac:dyDescent="0.3">
      <c r="A210" t="s">
        <v>408</v>
      </c>
      <c r="B210" s="2">
        <v>46043</v>
      </c>
      <c r="C210" t="s">
        <v>74</v>
      </c>
      <c r="D210" t="s">
        <v>75</v>
      </c>
      <c r="E210" t="s">
        <v>36</v>
      </c>
      <c r="F210" t="s">
        <v>190</v>
      </c>
      <c r="G210" t="s">
        <v>55</v>
      </c>
      <c r="H210">
        <v>1</v>
      </c>
      <c r="I210">
        <v>2600</v>
      </c>
      <c r="J210">
        <v>0</v>
      </c>
      <c r="K210" t="s">
        <v>27</v>
      </c>
      <c r="L210" t="s">
        <v>20</v>
      </c>
      <c r="M210">
        <v>7</v>
      </c>
    </row>
    <row r="211" spans="1:13" x14ac:dyDescent="0.3">
      <c r="A211" t="s">
        <v>409</v>
      </c>
      <c r="B211" s="2">
        <v>46088</v>
      </c>
      <c r="C211" t="s">
        <v>410</v>
      </c>
      <c r="D211" t="s">
        <v>116</v>
      </c>
      <c r="E211" t="s">
        <v>36</v>
      </c>
      <c r="F211" t="s">
        <v>190</v>
      </c>
      <c r="G211" t="s">
        <v>55</v>
      </c>
      <c r="H211">
        <v>1</v>
      </c>
      <c r="I211">
        <v>500</v>
      </c>
      <c r="J211">
        <v>15</v>
      </c>
      <c r="K211" t="s">
        <v>19</v>
      </c>
      <c r="L211" t="s">
        <v>20</v>
      </c>
      <c r="M211">
        <v>5</v>
      </c>
    </row>
    <row r="212" spans="1:13" x14ac:dyDescent="0.3">
      <c r="A212" t="s">
        <v>411</v>
      </c>
      <c r="B212" s="2">
        <v>46200</v>
      </c>
      <c r="C212" t="s">
        <v>70</v>
      </c>
      <c r="D212" t="s">
        <v>71</v>
      </c>
      <c r="E212" t="s">
        <v>36</v>
      </c>
      <c r="F212" t="s">
        <v>54</v>
      </c>
      <c r="G212" t="s">
        <v>55</v>
      </c>
      <c r="H212">
        <v>1</v>
      </c>
      <c r="I212">
        <v>2800</v>
      </c>
      <c r="J212">
        <v>0</v>
      </c>
      <c r="K212" t="s">
        <v>19</v>
      </c>
      <c r="L212" t="s">
        <v>20</v>
      </c>
      <c r="M212">
        <v>3</v>
      </c>
    </row>
    <row r="213" spans="1:13" x14ac:dyDescent="0.3">
      <c r="A213" t="s">
        <v>412</v>
      </c>
      <c r="B213" s="2">
        <v>46069</v>
      </c>
      <c r="C213" t="s">
        <v>246</v>
      </c>
      <c r="D213" t="s">
        <v>23</v>
      </c>
      <c r="E213" t="s">
        <v>36</v>
      </c>
      <c r="F213" t="s">
        <v>44</v>
      </c>
      <c r="G213" t="s">
        <v>45</v>
      </c>
      <c r="H213">
        <v>1</v>
      </c>
      <c r="I213">
        <v>600</v>
      </c>
      <c r="J213">
        <v>10</v>
      </c>
      <c r="K213" t="s">
        <v>19</v>
      </c>
      <c r="L213" t="s">
        <v>20</v>
      </c>
      <c r="M213">
        <v>1</v>
      </c>
    </row>
    <row r="214" spans="1:13" x14ac:dyDescent="0.3">
      <c r="A214" t="s">
        <v>413</v>
      </c>
      <c r="B214" s="2">
        <v>46025</v>
      </c>
      <c r="C214" t="s">
        <v>228</v>
      </c>
      <c r="D214" t="s">
        <v>15</v>
      </c>
      <c r="E214" t="s">
        <v>65</v>
      </c>
      <c r="F214" t="s">
        <v>156</v>
      </c>
      <c r="G214" t="s">
        <v>18</v>
      </c>
      <c r="H214">
        <v>1</v>
      </c>
      <c r="I214">
        <v>49611</v>
      </c>
      <c r="J214">
        <v>0</v>
      </c>
      <c r="K214" t="s">
        <v>56</v>
      </c>
      <c r="L214" t="s">
        <v>20</v>
      </c>
      <c r="M214">
        <v>3</v>
      </c>
    </row>
    <row r="215" spans="1:13" x14ac:dyDescent="0.3">
      <c r="A215" t="s">
        <v>414</v>
      </c>
      <c r="B215" s="2">
        <v>46041</v>
      </c>
      <c r="C215" t="s">
        <v>415</v>
      </c>
      <c r="D215" t="s">
        <v>61</v>
      </c>
      <c r="E215" t="s">
        <v>65</v>
      </c>
      <c r="F215" t="s">
        <v>68</v>
      </c>
      <c r="G215" t="s">
        <v>26</v>
      </c>
      <c r="H215">
        <v>1</v>
      </c>
      <c r="I215">
        <v>1780</v>
      </c>
      <c r="J215">
        <v>0</v>
      </c>
      <c r="K215" t="s">
        <v>56</v>
      </c>
      <c r="L215" t="s">
        <v>20</v>
      </c>
      <c r="M215">
        <v>1</v>
      </c>
    </row>
    <row r="216" spans="1:13" x14ac:dyDescent="0.3">
      <c r="A216" t="s">
        <v>416</v>
      </c>
      <c r="B216" s="2">
        <v>46124</v>
      </c>
      <c r="C216" t="s">
        <v>176</v>
      </c>
      <c r="D216" t="s">
        <v>39</v>
      </c>
      <c r="E216" t="s">
        <v>24</v>
      </c>
      <c r="F216" t="s">
        <v>62</v>
      </c>
      <c r="G216" t="s">
        <v>50</v>
      </c>
      <c r="H216">
        <v>1</v>
      </c>
      <c r="I216">
        <v>592</v>
      </c>
      <c r="J216">
        <v>10</v>
      </c>
      <c r="K216" t="s">
        <v>56</v>
      </c>
      <c r="L216" t="s">
        <v>46</v>
      </c>
      <c r="M216">
        <v>0</v>
      </c>
    </row>
    <row r="217" spans="1:13" x14ac:dyDescent="0.3">
      <c r="A217" t="s">
        <v>417</v>
      </c>
      <c r="B217" s="2">
        <v>46155</v>
      </c>
      <c r="C217" t="s">
        <v>248</v>
      </c>
      <c r="D217" t="s">
        <v>30</v>
      </c>
      <c r="E217" t="s">
        <v>24</v>
      </c>
      <c r="F217" t="s">
        <v>127</v>
      </c>
      <c r="G217" t="s">
        <v>55</v>
      </c>
      <c r="H217">
        <v>3</v>
      </c>
      <c r="I217">
        <v>2400</v>
      </c>
      <c r="J217">
        <v>0</v>
      </c>
      <c r="K217" t="s">
        <v>56</v>
      </c>
      <c r="L217" t="s">
        <v>139</v>
      </c>
      <c r="M217">
        <v>5</v>
      </c>
    </row>
    <row r="218" spans="1:13" x14ac:dyDescent="0.3">
      <c r="A218" t="s">
        <v>418</v>
      </c>
      <c r="B218" s="2">
        <v>46098</v>
      </c>
      <c r="C218" t="s">
        <v>419</v>
      </c>
      <c r="D218" t="s">
        <v>161</v>
      </c>
      <c r="E218" t="s">
        <v>31</v>
      </c>
      <c r="F218" t="s">
        <v>17</v>
      </c>
      <c r="G218" t="s">
        <v>18</v>
      </c>
      <c r="H218">
        <v>2</v>
      </c>
      <c r="I218">
        <v>49611</v>
      </c>
      <c r="J218">
        <v>0</v>
      </c>
      <c r="K218" t="s">
        <v>19</v>
      </c>
      <c r="L218" t="s">
        <v>20</v>
      </c>
      <c r="M218">
        <v>4</v>
      </c>
    </row>
    <row r="219" spans="1:13" x14ac:dyDescent="0.3">
      <c r="A219" t="s">
        <v>420</v>
      </c>
      <c r="B219" s="2">
        <v>46073</v>
      </c>
      <c r="C219" t="s">
        <v>406</v>
      </c>
      <c r="D219" t="s">
        <v>109</v>
      </c>
      <c r="E219" t="s">
        <v>40</v>
      </c>
      <c r="F219" t="s">
        <v>68</v>
      </c>
      <c r="G219" t="s">
        <v>26</v>
      </c>
      <c r="H219">
        <v>1</v>
      </c>
      <c r="I219">
        <v>1372</v>
      </c>
      <c r="J219">
        <v>5</v>
      </c>
      <c r="K219" t="s">
        <v>56</v>
      </c>
      <c r="L219" t="s">
        <v>20</v>
      </c>
      <c r="M219">
        <v>3</v>
      </c>
    </row>
    <row r="220" spans="1:13" x14ac:dyDescent="0.3">
      <c r="A220" t="s">
        <v>421</v>
      </c>
      <c r="B220" s="2">
        <v>46038</v>
      </c>
      <c r="C220" t="s">
        <v>422</v>
      </c>
      <c r="D220" t="s">
        <v>184</v>
      </c>
      <c r="E220" t="s">
        <v>36</v>
      </c>
      <c r="F220" t="s">
        <v>190</v>
      </c>
      <c r="G220" t="s">
        <v>55</v>
      </c>
      <c r="H220">
        <v>1</v>
      </c>
      <c r="I220">
        <v>1900</v>
      </c>
      <c r="J220">
        <v>20</v>
      </c>
      <c r="K220" t="s">
        <v>19</v>
      </c>
      <c r="L220" t="s">
        <v>20</v>
      </c>
      <c r="M220">
        <v>5</v>
      </c>
    </row>
    <row r="221" spans="1:13" x14ac:dyDescent="0.3">
      <c r="A221" t="s">
        <v>423</v>
      </c>
      <c r="B221" s="2">
        <v>46150</v>
      </c>
      <c r="C221" t="s">
        <v>121</v>
      </c>
      <c r="D221" t="s">
        <v>109</v>
      </c>
      <c r="E221" t="s">
        <v>117</v>
      </c>
      <c r="F221" t="s">
        <v>49</v>
      </c>
      <c r="G221" t="s">
        <v>50</v>
      </c>
      <c r="H221">
        <v>1</v>
      </c>
      <c r="I221">
        <v>1322</v>
      </c>
      <c r="J221">
        <v>5</v>
      </c>
      <c r="K221" t="s">
        <v>19</v>
      </c>
      <c r="L221" t="s">
        <v>20</v>
      </c>
      <c r="M221">
        <v>4</v>
      </c>
    </row>
    <row r="222" spans="1:13" x14ac:dyDescent="0.3">
      <c r="A222" t="s">
        <v>424</v>
      </c>
      <c r="B222" s="2">
        <v>46061</v>
      </c>
      <c r="C222" t="s">
        <v>425</v>
      </c>
      <c r="D222" t="s">
        <v>43</v>
      </c>
      <c r="E222" t="s">
        <v>16</v>
      </c>
      <c r="F222" t="s">
        <v>90</v>
      </c>
      <c r="G222" t="s">
        <v>18</v>
      </c>
      <c r="H222">
        <v>3</v>
      </c>
      <c r="I222">
        <v>33474</v>
      </c>
      <c r="J222">
        <v>10</v>
      </c>
      <c r="K222" t="s">
        <v>27</v>
      </c>
      <c r="L222" t="s">
        <v>20</v>
      </c>
      <c r="M222">
        <v>4</v>
      </c>
    </row>
    <row r="223" spans="1:13" x14ac:dyDescent="0.3">
      <c r="A223" t="s">
        <v>426</v>
      </c>
      <c r="B223" s="2">
        <v>46068</v>
      </c>
      <c r="C223" t="s">
        <v>14</v>
      </c>
      <c r="D223" t="s">
        <v>15</v>
      </c>
      <c r="E223" t="s">
        <v>40</v>
      </c>
      <c r="F223" t="s">
        <v>85</v>
      </c>
      <c r="G223" t="s">
        <v>45</v>
      </c>
      <c r="H223">
        <v>4</v>
      </c>
      <c r="I223">
        <v>1050</v>
      </c>
      <c r="J223">
        <v>0</v>
      </c>
      <c r="K223" t="s">
        <v>27</v>
      </c>
      <c r="L223" t="s">
        <v>20</v>
      </c>
      <c r="M223">
        <v>2</v>
      </c>
    </row>
    <row r="224" spans="1:13" x14ac:dyDescent="0.3">
      <c r="A224" t="s">
        <v>427</v>
      </c>
      <c r="B224" s="2">
        <v>46198</v>
      </c>
      <c r="C224" t="s">
        <v>320</v>
      </c>
      <c r="D224" t="s">
        <v>75</v>
      </c>
      <c r="E224" t="s">
        <v>81</v>
      </c>
      <c r="F224" t="s">
        <v>85</v>
      </c>
      <c r="G224" t="s">
        <v>45</v>
      </c>
      <c r="H224">
        <v>2</v>
      </c>
      <c r="I224">
        <v>600</v>
      </c>
      <c r="J224">
        <v>15</v>
      </c>
      <c r="K224" t="s">
        <v>91</v>
      </c>
      <c r="L224" t="s">
        <v>20</v>
      </c>
      <c r="M224">
        <v>2</v>
      </c>
    </row>
    <row r="225" spans="1:13" x14ac:dyDescent="0.3">
      <c r="A225" t="s">
        <v>428</v>
      </c>
      <c r="B225" s="2">
        <v>46146</v>
      </c>
      <c r="C225" t="s">
        <v>330</v>
      </c>
      <c r="D225" t="s">
        <v>231</v>
      </c>
      <c r="E225" t="s">
        <v>16</v>
      </c>
      <c r="F225" t="s">
        <v>190</v>
      </c>
      <c r="G225" t="s">
        <v>55</v>
      </c>
      <c r="H225">
        <v>1</v>
      </c>
      <c r="I225">
        <v>1800</v>
      </c>
      <c r="J225">
        <v>0</v>
      </c>
      <c r="K225" t="s">
        <v>19</v>
      </c>
      <c r="L225" t="s">
        <v>20</v>
      </c>
      <c r="M225">
        <v>5</v>
      </c>
    </row>
    <row r="226" spans="1:13" x14ac:dyDescent="0.3">
      <c r="A226" t="s">
        <v>429</v>
      </c>
      <c r="B226" s="2">
        <v>46111</v>
      </c>
      <c r="C226" t="s">
        <v>430</v>
      </c>
      <c r="D226" t="s">
        <v>149</v>
      </c>
      <c r="E226" t="s">
        <v>16</v>
      </c>
      <c r="F226" t="s">
        <v>156</v>
      </c>
      <c r="G226" t="s">
        <v>18</v>
      </c>
      <c r="H226">
        <v>2</v>
      </c>
      <c r="I226">
        <v>47818</v>
      </c>
      <c r="J226">
        <v>10</v>
      </c>
      <c r="K226" t="s">
        <v>19</v>
      </c>
      <c r="L226" t="s">
        <v>20</v>
      </c>
      <c r="M226">
        <v>3</v>
      </c>
    </row>
    <row r="227" spans="1:13" x14ac:dyDescent="0.3">
      <c r="A227" t="s">
        <v>431</v>
      </c>
      <c r="B227" s="2">
        <v>46127</v>
      </c>
      <c r="C227" t="s">
        <v>432</v>
      </c>
      <c r="D227" t="s">
        <v>23</v>
      </c>
      <c r="E227" t="s">
        <v>31</v>
      </c>
      <c r="F227" t="s">
        <v>131</v>
      </c>
      <c r="G227" t="s">
        <v>55</v>
      </c>
      <c r="H227">
        <v>2</v>
      </c>
      <c r="I227">
        <v>3400</v>
      </c>
      <c r="J227">
        <v>0</v>
      </c>
      <c r="K227" t="s">
        <v>27</v>
      </c>
      <c r="L227" t="s">
        <v>139</v>
      </c>
      <c r="M227">
        <v>5</v>
      </c>
    </row>
    <row r="228" spans="1:13" x14ac:dyDescent="0.3">
      <c r="A228" t="s">
        <v>433</v>
      </c>
      <c r="B228" s="2">
        <v>46070</v>
      </c>
      <c r="C228" t="s">
        <v>434</v>
      </c>
      <c r="D228" t="s">
        <v>109</v>
      </c>
      <c r="E228" t="s">
        <v>16</v>
      </c>
      <c r="F228" t="s">
        <v>49</v>
      </c>
      <c r="G228" t="s">
        <v>50</v>
      </c>
      <c r="H228">
        <v>1</v>
      </c>
      <c r="I228">
        <v>1760</v>
      </c>
      <c r="K228" t="s">
        <v>27</v>
      </c>
      <c r="L228" t="s">
        <v>20</v>
      </c>
      <c r="M228">
        <v>5</v>
      </c>
    </row>
    <row r="229" spans="1:13" x14ac:dyDescent="0.3">
      <c r="A229" t="s">
        <v>435</v>
      </c>
      <c r="B229" s="2">
        <v>46030</v>
      </c>
      <c r="C229" t="s">
        <v>436</v>
      </c>
      <c r="D229" t="s">
        <v>75</v>
      </c>
      <c r="E229" t="s">
        <v>40</v>
      </c>
      <c r="F229" t="s">
        <v>190</v>
      </c>
      <c r="G229" t="s">
        <v>55</v>
      </c>
      <c r="H229">
        <v>1</v>
      </c>
      <c r="I229">
        <v>2600</v>
      </c>
      <c r="J229">
        <v>15</v>
      </c>
      <c r="K229" t="s">
        <v>27</v>
      </c>
      <c r="L229" t="s">
        <v>46</v>
      </c>
      <c r="M229">
        <v>0</v>
      </c>
    </row>
    <row r="230" spans="1:13" x14ac:dyDescent="0.3">
      <c r="A230" t="s">
        <v>437</v>
      </c>
      <c r="B230" s="2">
        <v>46172</v>
      </c>
      <c r="C230" t="s">
        <v>64</v>
      </c>
      <c r="D230" t="s">
        <v>39</v>
      </c>
      <c r="E230" t="s">
        <v>117</v>
      </c>
      <c r="F230" t="s">
        <v>141</v>
      </c>
      <c r="G230" t="s">
        <v>50</v>
      </c>
      <c r="H230">
        <v>2</v>
      </c>
      <c r="I230">
        <v>2052</v>
      </c>
      <c r="J230">
        <v>5</v>
      </c>
      <c r="K230" t="s">
        <v>27</v>
      </c>
      <c r="L230" t="s">
        <v>20</v>
      </c>
      <c r="M230">
        <v>3</v>
      </c>
    </row>
    <row r="231" spans="1:13" x14ac:dyDescent="0.3">
      <c r="A231" t="s">
        <v>438</v>
      </c>
      <c r="B231" s="2">
        <v>46184</v>
      </c>
      <c r="C231" t="s">
        <v>133</v>
      </c>
      <c r="D231" t="s">
        <v>35</v>
      </c>
      <c r="E231" t="s">
        <v>40</v>
      </c>
      <c r="F231" t="s">
        <v>72</v>
      </c>
      <c r="G231" t="s">
        <v>45</v>
      </c>
      <c r="H231">
        <v>1</v>
      </c>
      <c r="I231">
        <v>1000</v>
      </c>
      <c r="J231">
        <v>10</v>
      </c>
      <c r="K231" t="s">
        <v>19</v>
      </c>
      <c r="L231" t="s">
        <v>20</v>
      </c>
      <c r="M231">
        <v>1</v>
      </c>
    </row>
    <row r="232" spans="1:13" x14ac:dyDescent="0.3">
      <c r="A232" t="s">
        <v>439</v>
      </c>
      <c r="B232" s="2">
        <v>46128</v>
      </c>
      <c r="C232" t="s">
        <v>163</v>
      </c>
      <c r="D232" t="s">
        <v>39</v>
      </c>
      <c r="E232" t="s">
        <v>24</v>
      </c>
      <c r="F232" t="s">
        <v>127</v>
      </c>
      <c r="G232" t="s">
        <v>55</v>
      </c>
      <c r="H232">
        <v>1</v>
      </c>
      <c r="I232">
        <v>700</v>
      </c>
      <c r="J232">
        <v>10</v>
      </c>
      <c r="K232" t="s">
        <v>19</v>
      </c>
      <c r="L232" t="s">
        <v>20</v>
      </c>
      <c r="M232">
        <v>4</v>
      </c>
    </row>
    <row r="233" spans="1:13" x14ac:dyDescent="0.3">
      <c r="A233" t="s">
        <v>440</v>
      </c>
      <c r="B233" s="2">
        <v>46135</v>
      </c>
      <c r="C233" t="s">
        <v>441</v>
      </c>
      <c r="D233" t="s">
        <v>184</v>
      </c>
      <c r="E233" t="s">
        <v>36</v>
      </c>
      <c r="F233" t="s">
        <v>32</v>
      </c>
      <c r="G233" t="s">
        <v>18</v>
      </c>
      <c r="H233">
        <v>1</v>
      </c>
      <c r="I233">
        <v>1200</v>
      </c>
      <c r="J233">
        <v>15</v>
      </c>
      <c r="K233" t="s">
        <v>27</v>
      </c>
      <c r="L233" t="s">
        <v>20</v>
      </c>
      <c r="M233">
        <v>4</v>
      </c>
    </row>
    <row r="234" spans="1:13" x14ac:dyDescent="0.3">
      <c r="A234" t="s">
        <v>442</v>
      </c>
      <c r="B234" s="2">
        <v>46076</v>
      </c>
      <c r="C234" t="s">
        <v>443</v>
      </c>
      <c r="D234" t="s">
        <v>30</v>
      </c>
      <c r="E234" t="s">
        <v>24</v>
      </c>
      <c r="F234" t="s">
        <v>131</v>
      </c>
      <c r="G234" t="s">
        <v>55</v>
      </c>
      <c r="H234">
        <v>1</v>
      </c>
      <c r="I234">
        <v>2100</v>
      </c>
      <c r="J234">
        <v>0</v>
      </c>
      <c r="K234" t="s">
        <v>19</v>
      </c>
      <c r="L234" t="s">
        <v>20</v>
      </c>
      <c r="M234">
        <v>4</v>
      </c>
    </row>
    <row r="235" spans="1:13" x14ac:dyDescent="0.3">
      <c r="A235" t="s">
        <v>444</v>
      </c>
      <c r="B235" s="2">
        <v>46169</v>
      </c>
      <c r="C235" t="s">
        <v>246</v>
      </c>
      <c r="D235" t="s">
        <v>23</v>
      </c>
      <c r="E235" t="s">
        <v>40</v>
      </c>
      <c r="F235" t="s">
        <v>95</v>
      </c>
      <c r="G235" t="s">
        <v>45</v>
      </c>
      <c r="H235">
        <v>1</v>
      </c>
      <c r="I235">
        <v>150</v>
      </c>
      <c r="J235">
        <v>15</v>
      </c>
      <c r="K235" t="s">
        <v>56</v>
      </c>
      <c r="L235" t="s">
        <v>20</v>
      </c>
      <c r="M235">
        <v>3</v>
      </c>
    </row>
    <row r="236" spans="1:13" x14ac:dyDescent="0.3">
      <c r="A236" t="s">
        <v>445</v>
      </c>
      <c r="B236" s="2">
        <v>46034</v>
      </c>
      <c r="C236" t="s">
        <v>446</v>
      </c>
      <c r="D236" t="s">
        <v>71</v>
      </c>
      <c r="E236" t="s">
        <v>81</v>
      </c>
      <c r="F236" t="s">
        <v>124</v>
      </c>
      <c r="G236" t="s">
        <v>55</v>
      </c>
      <c r="H236">
        <v>3</v>
      </c>
      <c r="I236">
        <v>1100</v>
      </c>
      <c r="J236">
        <v>15</v>
      </c>
      <c r="K236" t="s">
        <v>56</v>
      </c>
      <c r="L236" t="s">
        <v>20</v>
      </c>
      <c r="M236">
        <v>6</v>
      </c>
    </row>
    <row r="237" spans="1:13" x14ac:dyDescent="0.3">
      <c r="A237" t="s">
        <v>447</v>
      </c>
      <c r="B237" s="2">
        <v>46197</v>
      </c>
      <c r="C237" t="s">
        <v>448</v>
      </c>
      <c r="D237" t="s">
        <v>101</v>
      </c>
      <c r="E237" t="s">
        <v>65</v>
      </c>
      <c r="F237" t="s">
        <v>190</v>
      </c>
      <c r="G237" t="s">
        <v>55</v>
      </c>
      <c r="H237">
        <v>2</v>
      </c>
      <c r="I237">
        <v>3400</v>
      </c>
      <c r="J237">
        <v>10</v>
      </c>
      <c r="K237" t="s">
        <v>19</v>
      </c>
      <c r="L237" t="s">
        <v>20</v>
      </c>
      <c r="M237">
        <v>5</v>
      </c>
    </row>
    <row r="238" spans="1:13" x14ac:dyDescent="0.3">
      <c r="A238" t="s">
        <v>449</v>
      </c>
      <c r="B238" s="2">
        <v>46106</v>
      </c>
      <c r="C238" t="s">
        <v>350</v>
      </c>
      <c r="D238" t="s">
        <v>149</v>
      </c>
      <c r="E238" t="s">
        <v>65</v>
      </c>
      <c r="F238" t="s">
        <v>54</v>
      </c>
      <c r="G238" t="s">
        <v>55</v>
      </c>
      <c r="H238">
        <v>2</v>
      </c>
      <c r="I238">
        <v>1900</v>
      </c>
      <c r="J238">
        <v>5</v>
      </c>
      <c r="K238" t="s">
        <v>27</v>
      </c>
      <c r="L238" t="s">
        <v>20</v>
      </c>
      <c r="M238">
        <v>5</v>
      </c>
    </row>
    <row r="239" spans="1:13" x14ac:dyDescent="0.3">
      <c r="A239" t="s">
        <v>450</v>
      </c>
      <c r="B239" s="2">
        <v>46073</v>
      </c>
      <c r="C239" t="s">
        <v>129</v>
      </c>
      <c r="D239" t="s">
        <v>35</v>
      </c>
      <c r="E239" t="s">
        <v>65</v>
      </c>
      <c r="F239" t="s">
        <v>141</v>
      </c>
      <c r="G239" t="s">
        <v>50</v>
      </c>
      <c r="H239">
        <v>2</v>
      </c>
      <c r="I239">
        <v>446</v>
      </c>
      <c r="J239">
        <v>0</v>
      </c>
      <c r="K239" t="s">
        <v>56</v>
      </c>
      <c r="L239" t="s">
        <v>20</v>
      </c>
      <c r="M239">
        <v>5</v>
      </c>
    </row>
    <row r="240" spans="1:13" x14ac:dyDescent="0.3">
      <c r="A240" t="s">
        <v>451</v>
      </c>
      <c r="B240" s="2">
        <v>46116</v>
      </c>
      <c r="C240" t="s">
        <v>452</v>
      </c>
      <c r="D240" t="s">
        <v>149</v>
      </c>
      <c r="E240" t="s">
        <v>36</v>
      </c>
      <c r="F240" t="s">
        <v>32</v>
      </c>
      <c r="G240" t="s">
        <v>18</v>
      </c>
      <c r="H240">
        <v>1</v>
      </c>
      <c r="I240">
        <v>4786</v>
      </c>
      <c r="J240">
        <v>0</v>
      </c>
      <c r="K240" t="s">
        <v>19</v>
      </c>
      <c r="L240" t="s">
        <v>46</v>
      </c>
      <c r="M240">
        <v>0</v>
      </c>
    </row>
    <row r="241" spans="1:13" x14ac:dyDescent="0.3">
      <c r="A241" t="s">
        <v>453</v>
      </c>
      <c r="B241" s="2">
        <v>46071</v>
      </c>
      <c r="C241" t="s">
        <v>148</v>
      </c>
      <c r="D241" t="s">
        <v>149</v>
      </c>
      <c r="E241" t="s">
        <v>36</v>
      </c>
      <c r="F241" t="s">
        <v>127</v>
      </c>
      <c r="G241" t="s">
        <v>55</v>
      </c>
      <c r="H241">
        <v>2</v>
      </c>
      <c r="I241">
        <v>1000</v>
      </c>
      <c r="J241">
        <v>10</v>
      </c>
      <c r="K241" t="s">
        <v>27</v>
      </c>
      <c r="L241" t="s">
        <v>20</v>
      </c>
      <c r="M241">
        <v>3</v>
      </c>
    </row>
    <row r="242" spans="1:13" x14ac:dyDescent="0.3">
      <c r="A242" t="s">
        <v>454</v>
      </c>
      <c r="B242" s="2">
        <v>46052</v>
      </c>
      <c r="C242" t="s">
        <v>455</v>
      </c>
      <c r="D242" t="s">
        <v>101</v>
      </c>
      <c r="E242" t="s">
        <v>40</v>
      </c>
      <c r="F242" t="s">
        <v>383</v>
      </c>
      <c r="G242" t="s">
        <v>26</v>
      </c>
      <c r="H242">
        <v>2</v>
      </c>
      <c r="I242">
        <v>352</v>
      </c>
      <c r="J242">
        <v>20</v>
      </c>
      <c r="K242" t="s">
        <v>27</v>
      </c>
      <c r="L242" t="s">
        <v>20</v>
      </c>
      <c r="M242">
        <v>1</v>
      </c>
    </row>
    <row r="243" spans="1:13" x14ac:dyDescent="0.3">
      <c r="A243" t="s">
        <v>456</v>
      </c>
      <c r="B243" s="2">
        <v>46182</v>
      </c>
      <c r="C243" t="s">
        <v>137</v>
      </c>
      <c r="D243" t="s">
        <v>71</v>
      </c>
      <c r="E243" t="s">
        <v>31</v>
      </c>
      <c r="F243" t="s">
        <v>141</v>
      </c>
      <c r="G243" t="s">
        <v>50</v>
      </c>
      <c r="H243">
        <v>2</v>
      </c>
      <c r="I243">
        <v>2271</v>
      </c>
      <c r="J243">
        <v>5</v>
      </c>
      <c r="K243" t="s">
        <v>19</v>
      </c>
      <c r="L243" t="s">
        <v>20</v>
      </c>
      <c r="M243">
        <v>2</v>
      </c>
    </row>
    <row r="244" spans="1:13" x14ac:dyDescent="0.3">
      <c r="A244" t="s">
        <v>457</v>
      </c>
      <c r="B244" s="2">
        <v>46168</v>
      </c>
      <c r="C244" t="s">
        <v>338</v>
      </c>
      <c r="D244" t="s">
        <v>61</v>
      </c>
      <c r="E244" t="s">
        <v>117</v>
      </c>
      <c r="F244" t="s">
        <v>54</v>
      </c>
      <c r="G244" t="s">
        <v>55</v>
      </c>
      <c r="H244">
        <v>1</v>
      </c>
      <c r="I244">
        <v>3400</v>
      </c>
      <c r="J244">
        <v>0</v>
      </c>
      <c r="K244" t="s">
        <v>56</v>
      </c>
      <c r="L244" t="s">
        <v>20</v>
      </c>
      <c r="M244">
        <v>4</v>
      </c>
    </row>
    <row r="245" spans="1:13" x14ac:dyDescent="0.3">
      <c r="A245" t="s">
        <v>458</v>
      </c>
      <c r="B245" s="2">
        <v>46138</v>
      </c>
      <c r="C245" t="s">
        <v>207</v>
      </c>
      <c r="D245" t="s">
        <v>53</v>
      </c>
      <c r="E245" t="s">
        <v>117</v>
      </c>
      <c r="F245" t="s">
        <v>141</v>
      </c>
      <c r="G245" t="s">
        <v>50</v>
      </c>
      <c r="H245">
        <v>1</v>
      </c>
      <c r="I245">
        <v>1468</v>
      </c>
      <c r="J245">
        <v>10</v>
      </c>
      <c r="K245" t="s">
        <v>19</v>
      </c>
      <c r="L245" t="s">
        <v>20</v>
      </c>
      <c r="M245">
        <v>3</v>
      </c>
    </row>
    <row r="246" spans="1:13" x14ac:dyDescent="0.3">
      <c r="A246" t="s">
        <v>459</v>
      </c>
      <c r="B246" s="2">
        <v>46196</v>
      </c>
      <c r="C246" t="s">
        <v>148</v>
      </c>
      <c r="D246" t="s">
        <v>149</v>
      </c>
      <c r="E246" t="s">
        <v>36</v>
      </c>
      <c r="F246" t="s">
        <v>124</v>
      </c>
      <c r="G246" t="s">
        <v>55</v>
      </c>
      <c r="H246">
        <v>1</v>
      </c>
      <c r="I246">
        <v>2300</v>
      </c>
      <c r="J246">
        <v>15</v>
      </c>
      <c r="K246" t="s">
        <v>27</v>
      </c>
      <c r="L246" t="s">
        <v>20</v>
      </c>
      <c r="M246">
        <v>5</v>
      </c>
    </row>
    <row r="247" spans="1:13" x14ac:dyDescent="0.3">
      <c r="A247" t="s">
        <v>460</v>
      </c>
      <c r="B247" s="2">
        <v>46147</v>
      </c>
      <c r="C247" t="s">
        <v>121</v>
      </c>
      <c r="D247" t="s">
        <v>109</v>
      </c>
      <c r="E247" t="s">
        <v>31</v>
      </c>
      <c r="F247" t="s">
        <v>54</v>
      </c>
      <c r="G247" t="s">
        <v>55</v>
      </c>
      <c r="H247">
        <v>1</v>
      </c>
      <c r="I247">
        <v>2700</v>
      </c>
      <c r="J247">
        <v>25</v>
      </c>
      <c r="K247" t="s">
        <v>27</v>
      </c>
      <c r="L247" t="s">
        <v>20</v>
      </c>
      <c r="M247">
        <v>3</v>
      </c>
    </row>
    <row r="248" spans="1:13" x14ac:dyDescent="0.3">
      <c r="A248" t="s">
        <v>461</v>
      </c>
      <c r="B248" s="2">
        <v>46131</v>
      </c>
      <c r="C248" t="s">
        <v>422</v>
      </c>
      <c r="D248" t="s">
        <v>184</v>
      </c>
      <c r="E248" t="s">
        <v>24</v>
      </c>
      <c r="F248" t="s">
        <v>113</v>
      </c>
      <c r="G248" t="s">
        <v>26</v>
      </c>
      <c r="H248">
        <v>1</v>
      </c>
      <c r="I248">
        <v>454</v>
      </c>
      <c r="J248">
        <v>10</v>
      </c>
      <c r="K248" t="s">
        <v>19</v>
      </c>
      <c r="L248" t="s">
        <v>20</v>
      </c>
      <c r="M248">
        <v>3</v>
      </c>
    </row>
    <row r="249" spans="1:13" x14ac:dyDescent="0.3">
      <c r="A249" t="s">
        <v>462</v>
      </c>
      <c r="B249" s="2">
        <v>46201</v>
      </c>
      <c r="C249" t="s">
        <v>77</v>
      </c>
      <c r="D249" t="s">
        <v>23</v>
      </c>
      <c r="E249" t="s">
        <v>31</v>
      </c>
      <c r="F249" t="s">
        <v>113</v>
      </c>
      <c r="G249" t="s">
        <v>26</v>
      </c>
      <c r="H249">
        <v>1</v>
      </c>
      <c r="I249">
        <v>1168</v>
      </c>
      <c r="J249">
        <v>10</v>
      </c>
      <c r="K249" t="s">
        <v>27</v>
      </c>
      <c r="L249" t="s">
        <v>20</v>
      </c>
      <c r="M249">
        <v>3</v>
      </c>
    </row>
    <row r="250" spans="1:13" x14ac:dyDescent="0.3">
      <c r="A250" t="s">
        <v>463</v>
      </c>
      <c r="B250" s="2">
        <v>46114</v>
      </c>
      <c r="C250" t="s">
        <v>464</v>
      </c>
      <c r="D250" t="s">
        <v>149</v>
      </c>
      <c r="E250" t="s">
        <v>117</v>
      </c>
      <c r="F250" t="s">
        <v>95</v>
      </c>
      <c r="G250" t="s">
        <v>45</v>
      </c>
      <c r="H250">
        <v>2</v>
      </c>
      <c r="I250">
        <v>850</v>
      </c>
      <c r="J250">
        <v>5</v>
      </c>
      <c r="K250" t="s">
        <v>56</v>
      </c>
      <c r="L250" t="s">
        <v>20</v>
      </c>
      <c r="M250">
        <v>3</v>
      </c>
    </row>
    <row r="251" spans="1:13" x14ac:dyDescent="0.3">
      <c r="A251" t="s">
        <v>465</v>
      </c>
      <c r="B251" s="2">
        <v>46126</v>
      </c>
      <c r="C251" t="s">
        <v>93</v>
      </c>
      <c r="D251" t="s">
        <v>94</v>
      </c>
      <c r="E251" t="s">
        <v>31</v>
      </c>
      <c r="F251" t="s">
        <v>383</v>
      </c>
      <c r="G251" t="s">
        <v>26</v>
      </c>
      <c r="H251">
        <v>2</v>
      </c>
      <c r="I251">
        <v>454</v>
      </c>
      <c r="J251">
        <v>0</v>
      </c>
      <c r="K251" t="s">
        <v>56</v>
      </c>
      <c r="L251" t="s">
        <v>20</v>
      </c>
      <c r="M251">
        <v>5</v>
      </c>
    </row>
    <row r="252" spans="1:13" x14ac:dyDescent="0.3">
      <c r="A252" t="s">
        <v>466</v>
      </c>
      <c r="B252" s="2">
        <v>46195</v>
      </c>
      <c r="C252" t="s">
        <v>302</v>
      </c>
      <c r="D252" t="s">
        <v>231</v>
      </c>
      <c r="E252" t="s">
        <v>40</v>
      </c>
      <c r="F252" t="s">
        <v>213</v>
      </c>
      <c r="G252" t="s">
        <v>18</v>
      </c>
      <c r="H252">
        <v>1</v>
      </c>
      <c r="I252">
        <v>11958</v>
      </c>
      <c r="J252">
        <v>15</v>
      </c>
      <c r="K252" t="s">
        <v>19</v>
      </c>
      <c r="L252" t="s">
        <v>20</v>
      </c>
      <c r="M252">
        <v>6</v>
      </c>
    </row>
    <row r="253" spans="1:13" x14ac:dyDescent="0.3">
      <c r="A253" t="s">
        <v>467</v>
      </c>
      <c r="B253" s="2">
        <v>46092</v>
      </c>
      <c r="C253" t="s">
        <v>145</v>
      </c>
      <c r="D253" t="s">
        <v>30</v>
      </c>
      <c r="E253" t="s">
        <v>36</v>
      </c>
      <c r="F253" t="s">
        <v>190</v>
      </c>
      <c r="G253" t="s">
        <v>55</v>
      </c>
      <c r="H253">
        <v>2</v>
      </c>
      <c r="I253">
        <v>1600</v>
      </c>
      <c r="J253">
        <v>10</v>
      </c>
      <c r="K253" t="s">
        <v>19</v>
      </c>
      <c r="L253" t="s">
        <v>20</v>
      </c>
      <c r="M253">
        <v>8</v>
      </c>
    </row>
    <row r="254" spans="1:13" x14ac:dyDescent="0.3">
      <c r="A254" t="s">
        <v>468</v>
      </c>
      <c r="B254" s="2">
        <v>46165</v>
      </c>
      <c r="C254" t="s">
        <v>58</v>
      </c>
      <c r="D254" t="s">
        <v>53</v>
      </c>
      <c r="E254" t="s">
        <v>117</v>
      </c>
      <c r="F254" t="s">
        <v>85</v>
      </c>
      <c r="G254" t="s">
        <v>45</v>
      </c>
      <c r="H254">
        <v>2</v>
      </c>
      <c r="I254">
        <v>1000</v>
      </c>
      <c r="J254">
        <v>20</v>
      </c>
      <c r="K254" t="s">
        <v>27</v>
      </c>
      <c r="L254" t="s">
        <v>20</v>
      </c>
      <c r="M254">
        <v>3</v>
      </c>
    </row>
    <row r="255" spans="1:13" x14ac:dyDescent="0.3">
      <c r="A255" t="s">
        <v>469</v>
      </c>
      <c r="B255" s="2">
        <v>46026</v>
      </c>
      <c r="C255" t="s">
        <v>470</v>
      </c>
      <c r="D255" t="s">
        <v>184</v>
      </c>
      <c r="E255" t="s">
        <v>16</v>
      </c>
      <c r="F255" t="s">
        <v>127</v>
      </c>
      <c r="G255" t="s">
        <v>55</v>
      </c>
      <c r="H255">
        <v>2</v>
      </c>
      <c r="I255">
        <v>1200</v>
      </c>
      <c r="J255">
        <v>5</v>
      </c>
      <c r="K255" t="s">
        <v>56</v>
      </c>
      <c r="L255" t="s">
        <v>46</v>
      </c>
      <c r="M255">
        <v>0</v>
      </c>
    </row>
    <row r="256" spans="1:13" x14ac:dyDescent="0.3">
      <c r="A256" t="s">
        <v>471</v>
      </c>
      <c r="B256" s="2">
        <v>46085</v>
      </c>
      <c r="C256" t="s">
        <v>93</v>
      </c>
      <c r="D256" t="s">
        <v>94</v>
      </c>
      <c r="E256" t="s">
        <v>65</v>
      </c>
      <c r="F256" t="s">
        <v>131</v>
      </c>
      <c r="G256" t="s">
        <v>55</v>
      </c>
      <c r="H256">
        <v>1</v>
      </c>
      <c r="I256">
        <v>1900</v>
      </c>
      <c r="J256">
        <v>20</v>
      </c>
      <c r="K256" t="s">
        <v>19</v>
      </c>
      <c r="L256" t="s">
        <v>20</v>
      </c>
      <c r="M256">
        <v>6</v>
      </c>
    </row>
    <row r="257" spans="1:13" x14ac:dyDescent="0.3">
      <c r="A257" t="s">
        <v>472</v>
      </c>
      <c r="B257" s="2">
        <v>46160</v>
      </c>
      <c r="C257" t="s">
        <v>473</v>
      </c>
      <c r="D257" t="s">
        <v>116</v>
      </c>
      <c r="E257" t="s">
        <v>36</v>
      </c>
      <c r="F257" t="s">
        <v>190</v>
      </c>
      <c r="G257" t="s">
        <v>55</v>
      </c>
      <c r="H257">
        <v>1</v>
      </c>
      <c r="I257">
        <v>600</v>
      </c>
      <c r="J257">
        <v>15</v>
      </c>
      <c r="K257" t="s">
        <v>27</v>
      </c>
      <c r="L257" t="s">
        <v>20</v>
      </c>
      <c r="M257">
        <v>6</v>
      </c>
    </row>
    <row r="258" spans="1:13" x14ac:dyDescent="0.3">
      <c r="A258" t="s">
        <v>474</v>
      </c>
      <c r="B258" s="2">
        <v>46041</v>
      </c>
      <c r="C258" t="s">
        <v>475</v>
      </c>
      <c r="D258" t="s">
        <v>53</v>
      </c>
      <c r="E258" t="s">
        <v>36</v>
      </c>
      <c r="F258" t="s">
        <v>85</v>
      </c>
      <c r="G258" t="s">
        <v>45</v>
      </c>
      <c r="H258">
        <v>1</v>
      </c>
      <c r="I258">
        <v>150</v>
      </c>
      <c r="J258">
        <v>10</v>
      </c>
      <c r="K258" t="s">
        <v>19</v>
      </c>
      <c r="L258" t="s">
        <v>20</v>
      </c>
      <c r="M258">
        <v>2</v>
      </c>
    </row>
    <row r="259" spans="1:13" x14ac:dyDescent="0.3">
      <c r="A259" t="s">
        <v>476</v>
      </c>
      <c r="B259" s="2">
        <v>46126</v>
      </c>
      <c r="C259" t="s">
        <v>477</v>
      </c>
      <c r="D259" t="s">
        <v>75</v>
      </c>
      <c r="E259" t="s">
        <v>31</v>
      </c>
      <c r="F259" t="s">
        <v>88</v>
      </c>
      <c r="G259" t="s">
        <v>26</v>
      </c>
      <c r="H259">
        <v>1</v>
      </c>
      <c r="I259">
        <v>1729</v>
      </c>
      <c r="J259">
        <v>5</v>
      </c>
      <c r="K259" t="s">
        <v>27</v>
      </c>
      <c r="L259" t="s">
        <v>20</v>
      </c>
      <c r="M259">
        <v>3</v>
      </c>
    </row>
    <row r="260" spans="1:13" x14ac:dyDescent="0.3">
      <c r="A260" t="s">
        <v>478</v>
      </c>
      <c r="B260" s="2">
        <v>46056</v>
      </c>
      <c r="C260" t="s">
        <v>189</v>
      </c>
      <c r="D260" t="s">
        <v>30</v>
      </c>
      <c r="E260" t="s">
        <v>36</v>
      </c>
      <c r="F260" t="s">
        <v>90</v>
      </c>
      <c r="G260" t="s">
        <v>18</v>
      </c>
      <c r="H260">
        <v>1</v>
      </c>
      <c r="I260">
        <v>13751</v>
      </c>
      <c r="J260">
        <v>15</v>
      </c>
      <c r="K260" t="s">
        <v>19</v>
      </c>
      <c r="L260" t="s">
        <v>20</v>
      </c>
      <c r="M260">
        <v>4</v>
      </c>
    </row>
    <row r="261" spans="1:13" x14ac:dyDescent="0.3">
      <c r="A261" t="s">
        <v>479</v>
      </c>
      <c r="B261" s="2">
        <v>46181</v>
      </c>
      <c r="C261" t="s">
        <v>275</v>
      </c>
      <c r="D261" t="s">
        <v>75</v>
      </c>
      <c r="E261" t="s">
        <v>31</v>
      </c>
      <c r="F261" t="s">
        <v>54</v>
      </c>
      <c r="G261" t="s">
        <v>55</v>
      </c>
      <c r="H261">
        <v>1</v>
      </c>
      <c r="I261">
        <v>2600</v>
      </c>
      <c r="J261">
        <v>10</v>
      </c>
      <c r="K261" t="s">
        <v>19</v>
      </c>
      <c r="L261" t="s">
        <v>20</v>
      </c>
      <c r="M261">
        <v>4</v>
      </c>
    </row>
    <row r="262" spans="1:13" x14ac:dyDescent="0.3">
      <c r="A262" t="s">
        <v>480</v>
      </c>
      <c r="B262" s="2">
        <v>46043</v>
      </c>
      <c r="C262" t="s">
        <v>100</v>
      </c>
      <c r="D262" t="s">
        <v>101</v>
      </c>
      <c r="E262" t="s">
        <v>36</v>
      </c>
      <c r="F262" t="s">
        <v>127</v>
      </c>
      <c r="G262" t="s">
        <v>55</v>
      </c>
      <c r="H262">
        <v>1</v>
      </c>
      <c r="I262">
        <v>2600</v>
      </c>
      <c r="J262">
        <v>15</v>
      </c>
      <c r="K262" t="s">
        <v>56</v>
      </c>
      <c r="L262" t="s">
        <v>20</v>
      </c>
      <c r="M262">
        <v>5</v>
      </c>
    </row>
    <row r="263" spans="1:13" x14ac:dyDescent="0.3">
      <c r="A263" t="s">
        <v>481</v>
      </c>
      <c r="B263" s="2">
        <v>46182</v>
      </c>
      <c r="C263" t="s">
        <v>119</v>
      </c>
      <c r="D263" t="s">
        <v>101</v>
      </c>
      <c r="E263" t="s">
        <v>40</v>
      </c>
      <c r="F263" t="s">
        <v>190</v>
      </c>
      <c r="G263" t="s">
        <v>55</v>
      </c>
      <c r="H263">
        <v>2</v>
      </c>
      <c r="I263">
        <v>2500</v>
      </c>
      <c r="J263">
        <v>10</v>
      </c>
      <c r="K263" t="s">
        <v>27</v>
      </c>
      <c r="L263" t="s">
        <v>20</v>
      </c>
      <c r="M263">
        <v>6</v>
      </c>
    </row>
    <row r="264" spans="1:13" x14ac:dyDescent="0.3">
      <c r="A264" t="s">
        <v>482</v>
      </c>
      <c r="B264" s="2">
        <v>46034</v>
      </c>
      <c r="C264" t="s">
        <v>295</v>
      </c>
      <c r="D264" t="s">
        <v>94</v>
      </c>
      <c r="E264" t="s">
        <v>40</v>
      </c>
      <c r="F264" t="s">
        <v>124</v>
      </c>
      <c r="G264" t="s">
        <v>55</v>
      </c>
      <c r="H264">
        <v>1</v>
      </c>
      <c r="I264">
        <v>2800</v>
      </c>
      <c r="J264">
        <v>0</v>
      </c>
      <c r="K264" t="s">
        <v>56</v>
      </c>
      <c r="L264" t="s">
        <v>20</v>
      </c>
      <c r="M264">
        <v>5</v>
      </c>
    </row>
    <row r="265" spans="1:13" x14ac:dyDescent="0.3">
      <c r="A265" t="s">
        <v>483</v>
      </c>
      <c r="B265" s="2">
        <v>46040</v>
      </c>
      <c r="C265" t="s">
        <v>307</v>
      </c>
      <c r="D265" t="s">
        <v>98</v>
      </c>
      <c r="E265" t="s">
        <v>31</v>
      </c>
      <c r="F265" t="s">
        <v>25</v>
      </c>
      <c r="G265" t="s">
        <v>26</v>
      </c>
      <c r="H265">
        <v>1</v>
      </c>
      <c r="I265">
        <v>607</v>
      </c>
      <c r="J265">
        <v>5</v>
      </c>
      <c r="K265" t="s">
        <v>56</v>
      </c>
      <c r="L265" t="s">
        <v>20</v>
      </c>
      <c r="M265">
        <v>2</v>
      </c>
    </row>
    <row r="266" spans="1:13" x14ac:dyDescent="0.3">
      <c r="A266" t="s">
        <v>484</v>
      </c>
      <c r="B266" s="2">
        <v>46143</v>
      </c>
      <c r="C266" t="s">
        <v>205</v>
      </c>
      <c r="D266" t="s">
        <v>98</v>
      </c>
      <c r="E266" t="s">
        <v>31</v>
      </c>
      <c r="F266" t="s">
        <v>54</v>
      </c>
      <c r="G266" t="s">
        <v>55</v>
      </c>
      <c r="H266">
        <v>1</v>
      </c>
      <c r="I266">
        <v>600</v>
      </c>
      <c r="J266">
        <v>15</v>
      </c>
      <c r="K266" t="s">
        <v>56</v>
      </c>
      <c r="L266" t="s">
        <v>20</v>
      </c>
      <c r="M266">
        <v>4</v>
      </c>
    </row>
    <row r="267" spans="1:13" x14ac:dyDescent="0.3">
      <c r="A267" t="s">
        <v>485</v>
      </c>
      <c r="B267" s="2">
        <v>46187</v>
      </c>
      <c r="C267" t="s">
        <v>179</v>
      </c>
      <c r="D267" t="s">
        <v>23</v>
      </c>
      <c r="E267" t="s">
        <v>36</v>
      </c>
      <c r="F267" t="s">
        <v>17</v>
      </c>
      <c r="G267" t="s">
        <v>18</v>
      </c>
      <c r="H267">
        <v>3</v>
      </c>
      <c r="I267">
        <v>1200</v>
      </c>
      <c r="J267">
        <v>15</v>
      </c>
      <c r="K267" t="s">
        <v>27</v>
      </c>
      <c r="L267" t="s">
        <v>20</v>
      </c>
      <c r="M267">
        <v>4</v>
      </c>
    </row>
    <row r="268" spans="1:13" x14ac:dyDescent="0.3">
      <c r="A268" t="s">
        <v>486</v>
      </c>
      <c r="B268" s="2">
        <v>46035</v>
      </c>
      <c r="C268" t="s">
        <v>487</v>
      </c>
      <c r="D268" t="s">
        <v>116</v>
      </c>
      <c r="E268" t="s">
        <v>36</v>
      </c>
      <c r="F268" t="s">
        <v>54</v>
      </c>
      <c r="G268" t="s">
        <v>55</v>
      </c>
      <c r="H268">
        <v>2</v>
      </c>
      <c r="I268">
        <v>2100</v>
      </c>
      <c r="J268">
        <v>20</v>
      </c>
      <c r="K268" t="s">
        <v>19</v>
      </c>
      <c r="L268" t="s">
        <v>20</v>
      </c>
      <c r="M268">
        <v>4</v>
      </c>
    </row>
    <row r="269" spans="1:13" x14ac:dyDescent="0.3">
      <c r="A269" t="s">
        <v>488</v>
      </c>
      <c r="B269" s="2">
        <v>46050</v>
      </c>
      <c r="C269" t="s">
        <v>322</v>
      </c>
      <c r="D269" t="s">
        <v>161</v>
      </c>
      <c r="E269" t="s">
        <v>65</v>
      </c>
      <c r="F269" t="s">
        <v>124</v>
      </c>
      <c r="G269" t="s">
        <v>55</v>
      </c>
      <c r="H269">
        <v>2</v>
      </c>
      <c r="I269">
        <v>1800</v>
      </c>
      <c r="J269">
        <v>0</v>
      </c>
      <c r="K269" t="s">
        <v>56</v>
      </c>
      <c r="L269" t="s">
        <v>20</v>
      </c>
      <c r="M269">
        <v>3</v>
      </c>
    </row>
    <row r="270" spans="1:13" x14ac:dyDescent="0.3">
      <c r="A270" t="s">
        <v>489</v>
      </c>
      <c r="B270" s="2">
        <v>46122</v>
      </c>
      <c r="C270" t="s">
        <v>119</v>
      </c>
      <c r="D270" t="s">
        <v>101</v>
      </c>
      <c r="E270" t="s">
        <v>65</v>
      </c>
      <c r="F270" t="s">
        <v>156</v>
      </c>
      <c r="G270" t="s">
        <v>18</v>
      </c>
      <c r="H270">
        <v>1</v>
      </c>
      <c r="I270">
        <v>10165</v>
      </c>
      <c r="J270">
        <v>20</v>
      </c>
      <c r="K270" t="s">
        <v>19</v>
      </c>
      <c r="L270" t="s">
        <v>20</v>
      </c>
      <c r="M270">
        <v>1</v>
      </c>
    </row>
    <row r="271" spans="1:13" x14ac:dyDescent="0.3">
      <c r="A271" t="s">
        <v>490</v>
      </c>
      <c r="B271" s="2">
        <v>46029</v>
      </c>
      <c r="C271" t="s">
        <v>275</v>
      </c>
      <c r="D271" t="s">
        <v>75</v>
      </c>
      <c r="E271" t="s">
        <v>36</v>
      </c>
      <c r="F271" t="s">
        <v>88</v>
      </c>
      <c r="G271" t="s">
        <v>26</v>
      </c>
      <c r="H271">
        <v>1</v>
      </c>
      <c r="I271">
        <v>811</v>
      </c>
      <c r="J271">
        <v>15</v>
      </c>
      <c r="K271" t="s">
        <v>19</v>
      </c>
      <c r="L271" t="s">
        <v>46</v>
      </c>
      <c r="M271">
        <v>0</v>
      </c>
    </row>
    <row r="272" spans="1:13" x14ac:dyDescent="0.3">
      <c r="A272" t="s">
        <v>491</v>
      </c>
      <c r="B272" s="2">
        <v>46079</v>
      </c>
      <c r="C272" t="s">
        <v>430</v>
      </c>
      <c r="D272" t="s">
        <v>149</v>
      </c>
      <c r="E272" t="s">
        <v>16</v>
      </c>
      <c r="F272" t="s">
        <v>113</v>
      </c>
      <c r="G272" t="s">
        <v>26</v>
      </c>
      <c r="H272">
        <v>1</v>
      </c>
      <c r="I272">
        <v>811</v>
      </c>
      <c r="J272">
        <v>10</v>
      </c>
      <c r="K272" t="s">
        <v>19</v>
      </c>
      <c r="L272" t="s">
        <v>46</v>
      </c>
      <c r="M272">
        <v>0</v>
      </c>
    </row>
    <row r="273" spans="1:13" x14ac:dyDescent="0.3">
      <c r="A273" t="s">
        <v>492</v>
      </c>
      <c r="B273" s="2">
        <v>46103</v>
      </c>
      <c r="C273" t="s">
        <v>309</v>
      </c>
      <c r="D273" t="s">
        <v>30</v>
      </c>
      <c r="E273" t="s">
        <v>36</v>
      </c>
      <c r="F273" t="s">
        <v>127</v>
      </c>
      <c r="G273" t="s">
        <v>55</v>
      </c>
      <c r="H273">
        <v>1</v>
      </c>
      <c r="I273">
        <v>700</v>
      </c>
      <c r="J273">
        <v>10</v>
      </c>
      <c r="K273" t="s">
        <v>27</v>
      </c>
      <c r="L273" t="s">
        <v>20</v>
      </c>
      <c r="M273">
        <v>6</v>
      </c>
    </row>
    <row r="274" spans="1:13" x14ac:dyDescent="0.3">
      <c r="A274" t="s">
        <v>493</v>
      </c>
      <c r="B274" s="2">
        <v>46175</v>
      </c>
      <c r="C274" t="s">
        <v>273</v>
      </c>
      <c r="D274" t="s">
        <v>15</v>
      </c>
      <c r="E274" t="s">
        <v>24</v>
      </c>
      <c r="F274" t="s">
        <v>49</v>
      </c>
      <c r="G274" t="s">
        <v>50</v>
      </c>
      <c r="H274">
        <v>1</v>
      </c>
      <c r="I274">
        <v>1687</v>
      </c>
      <c r="J274">
        <v>5</v>
      </c>
      <c r="K274" t="s">
        <v>19</v>
      </c>
      <c r="L274" t="s">
        <v>20</v>
      </c>
      <c r="M274">
        <v>4</v>
      </c>
    </row>
    <row r="275" spans="1:13" x14ac:dyDescent="0.3">
      <c r="A275" t="s">
        <v>494</v>
      </c>
      <c r="B275" s="2">
        <v>46197</v>
      </c>
      <c r="C275" t="s">
        <v>260</v>
      </c>
      <c r="D275" t="s">
        <v>61</v>
      </c>
      <c r="E275" t="s">
        <v>16</v>
      </c>
      <c r="F275" t="s">
        <v>17</v>
      </c>
      <c r="G275" t="s">
        <v>18</v>
      </c>
      <c r="H275">
        <v>2</v>
      </c>
      <c r="I275">
        <v>44232</v>
      </c>
      <c r="J275">
        <v>10</v>
      </c>
      <c r="K275" t="s">
        <v>19</v>
      </c>
      <c r="L275" t="s">
        <v>20</v>
      </c>
      <c r="M275">
        <v>5</v>
      </c>
    </row>
    <row r="276" spans="1:13" x14ac:dyDescent="0.3">
      <c r="A276" t="s">
        <v>495</v>
      </c>
      <c r="B276" s="2">
        <v>46065</v>
      </c>
      <c r="C276" t="s">
        <v>192</v>
      </c>
      <c r="D276" t="s">
        <v>98</v>
      </c>
      <c r="E276" t="s">
        <v>81</v>
      </c>
      <c r="F276" t="s">
        <v>141</v>
      </c>
      <c r="G276" t="s">
        <v>50</v>
      </c>
      <c r="H276">
        <v>2</v>
      </c>
      <c r="I276">
        <v>1322</v>
      </c>
      <c r="J276">
        <v>10</v>
      </c>
      <c r="K276" t="s">
        <v>56</v>
      </c>
      <c r="L276" t="s">
        <v>20</v>
      </c>
      <c r="M276">
        <v>2</v>
      </c>
    </row>
    <row r="277" spans="1:13" x14ac:dyDescent="0.3">
      <c r="A277" t="s">
        <v>496</v>
      </c>
      <c r="B277" s="2">
        <v>46154</v>
      </c>
      <c r="C277" t="s">
        <v>104</v>
      </c>
      <c r="D277" t="s">
        <v>35</v>
      </c>
      <c r="E277" t="s">
        <v>65</v>
      </c>
      <c r="F277" t="s">
        <v>113</v>
      </c>
      <c r="G277" t="s">
        <v>26</v>
      </c>
      <c r="H277">
        <v>1</v>
      </c>
      <c r="I277">
        <v>301</v>
      </c>
      <c r="J277">
        <v>10</v>
      </c>
      <c r="K277" t="s">
        <v>19</v>
      </c>
      <c r="L277" t="s">
        <v>20</v>
      </c>
      <c r="M277">
        <v>2</v>
      </c>
    </row>
    <row r="278" spans="1:13" x14ac:dyDescent="0.3">
      <c r="A278" t="s">
        <v>497</v>
      </c>
      <c r="B278" s="2">
        <v>46112</v>
      </c>
      <c r="C278" t="s">
        <v>498</v>
      </c>
      <c r="D278" t="s">
        <v>39</v>
      </c>
      <c r="E278" t="s">
        <v>24</v>
      </c>
      <c r="F278" t="s">
        <v>32</v>
      </c>
      <c r="G278" t="s">
        <v>18</v>
      </c>
      <c r="H278">
        <v>1</v>
      </c>
      <c r="I278">
        <v>31681</v>
      </c>
      <c r="J278">
        <v>10</v>
      </c>
      <c r="K278" t="s">
        <v>56</v>
      </c>
      <c r="L278" t="s">
        <v>20</v>
      </c>
      <c r="M278">
        <v>4</v>
      </c>
    </row>
    <row r="279" spans="1:13" x14ac:dyDescent="0.3">
      <c r="A279" t="s">
        <v>499</v>
      </c>
      <c r="B279" s="2">
        <v>46047</v>
      </c>
      <c r="C279" t="s">
        <v>434</v>
      </c>
      <c r="D279" t="s">
        <v>109</v>
      </c>
      <c r="E279" t="s">
        <v>16</v>
      </c>
      <c r="F279" t="s">
        <v>62</v>
      </c>
      <c r="G279" t="s">
        <v>50</v>
      </c>
      <c r="H279">
        <v>2</v>
      </c>
      <c r="I279">
        <v>1176</v>
      </c>
      <c r="J279">
        <v>10</v>
      </c>
      <c r="K279" t="s">
        <v>19</v>
      </c>
      <c r="L279" t="s">
        <v>20</v>
      </c>
      <c r="M279">
        <v>5</v>
      </c>
    </row>
    <row r="280" spans="1:13" x14ac:dyDescent="0.3">
      <c r="A280" t="s">
        <v>500</v>
      </c>
      <c r="B280" s="2">
        <v>46071</v>
      </c>
      <c r="C280" t="s">
        <v>266</v>
      </c>
      <c r="D280" t="s">
        <v>80</v>
      </c>
      <c r="E280" t="s">
        <v>24</v>
      </c>
      <c r="F280" t="s">
        <v>190</v>
      </c>
      <c r="G280" t="s">
        <v>55</v>
      </c>
      <c r="H280">
        <v>3</v>
      </c>
      <c r="I280">
        <v>2900</v>
      </c>
      <c r="J280">
        <v>15</v>
      </c>
      <c r="K280" t="s">
        <v>19</v>
      </c>
      <c r="L280" t="s">
        <v>20</v>
      </c>
      <c r="M280">
        <v>3</v>
      </c>
    </row>
    <row r="281" spans="1:13" x14ac:dyDescent="0.3">
      <c r="A281" t="s">
        <v>501</v>
      </c>
      <c r="B281" s="2">
        <v>46188</v>
      </c>
      <c r="C281" t="s">
        <v>502</v>
      </c>
      <c r="D281" t="s">
        <v>80</v>
      </c>
      <c r="E281" t="s">
        <v>40</v>
      </c>
      <c r="F281" t="s">
        <v>17</v>
      </c>
      <c r="G281" t="s">
        <v>18</v>
      </c>
      <c r="H281">
        <v>2</v>
      </c>
      <c r="I281">
        <v>46025</v>
      </c>
      <c r="J281">
        <v>0</v>
      </c>
      <c r="K281" t="s">
        <v>19</v>
      </c>
      <c r="L281" t="s">
        <v>20</v>
      </c>
      <c r="M281">
        <v>3</v>
      </c>
    </row>
    <row r="282" spans="1:13" x14ac:dyDescent="0.3">
      <c r="A282" t="s">
        <v>503</v>
      </c>
      <c r="B282" s="2">
        <v>46068</v>
      </c>
      <c r="C282" t="s">
        <v>415</v>
      </c>
      <c r="D282" t="s">
        <v>61</v>
      </c>
      <c r="E282" t="s">
        <v>40</v>
      </c>
      <c r="F282" t="s">
        <v>17</v>
      </c>
      <c r="G282" t="s">
        <v>18</v>
      </c>
      <c r="H282">
        <v>1</v>
      </c>
      <c r="I282">
        <v>13751</v>
      </c>
      <c r="J282">
        <v>0</v>
      </c>
      <c r="K282" t="s">
        <v>56</v>
      </c>
      <c r="L282" t="s">
        <v>139</v>
      </c>
      <c r="M282">
        <v>4</v>
      </c>
    </row>
    <row r="283" spans="1:13" x14ac:dyDescent="0.3">
      <c r="A283" t="s">
        <v>504</v>
      </c>
      <c r="B283" s="2">
        <v>46092</v>
      </c>
      <c r="C283" t="s">
        <v>160</v>
      </c>
      <c r="D283" t="s">
        <v>161</v>
      </c>
      <c r="E283" t="s">
        <v>36</v>
      </c>
      <c r="F283" t="s">
        <v>141</v>
      </c>
      <c r="G283" t="s">
        <v>50</v>
      </c>
      <c r="H283">
        <v>1</v>
      </c>
      <c r="I283">
        <v>1395</v>
      </c>
      <c r="J283">
        <v>25</v>
      </c>
      <c r="K283" t="s">
        <v>27</v>
      </c>
      <c r="L283" t="s">
        <v>20</v>
      </c>
      <c r="M283">
        <v>4</v>
      </c>
    </row>
    <row r="284" spans="1:13" x14ac:dyDescent="0.3">
      <c r="A284" t="s">
        <v>505</v>
      </c>
      <c r="B284" s="2">
        <v>46111</v>
      </c>
      <c r="C284" t="s">
        <v>389</v>
      </c>
      <c r="D284" t="s">
        <v>43</v>
      </c>
      <c r="E284" t="s">
        <v>65</v>
      </c>
      <c r="F284" t="s">
        <v>90</v>
      </c>
      <c r="G284" t="s">
        <v>18</v>
      </c>
      <c r="H284">
        <v>1</v>
      </c>
      <c r="I284">
        <v>46025</v>
      </c>
      <c r="J284">
        <v>15</v>
      </c>
      <c r="K284" t="s">
        <v>56</v>
      </c>
      <c r="L284" t="s">
        <v>20</v>
      </c>
      <c r="M284">
        <v>2</v>
      </c>
    </row>
    <row r="285" spans="1:13" x14ac:dyDescent="0.3">
      <c r="A285" t="s">
        <v>506</v>
      </c>
      <c r="B285" s="2">
        <v>46184</v>
      </c>
      <c r="C285" t="s">
        <v>64</v>
      </c>
      <c r="D285" t="s">
        <v>39</v>
      </c>
      <c r="E285" t="s">
        <v>81</v>
      </c>
      <c r="F285" t="s">
        <v>32</v>
      </c>
      <c r="G285" t="s">
        <v>18</v>
      </c>
      <c r="H285">
        <v>1</v>
      </c>
      <c r="I285">
        <v>26302</v>
      </c>
      <c r="J285">
        <v>10</v>
      </c>
      <c r="K285" t="s">
        <v>56</v>
      </c>
      <c r="L285" t="s">
        <v>139</v>
      </c>
      <c r="M285">
        <v>6</v>
      </c>
    </row>
    <row r="286" spans="1:13" x14ac:dyDescent="0.3">
      <c r="A286" t="s">
        <v>507</v>
      </c>
      <c r="B286" s="2">
        <v>46115</v>
      </c>
      <c r="C286" t="s">
        <v>508</v>
      </c>
      <c r="D286" t="s">
        <v>39</v>
      </c>
      <c r="E286" t="s">
        <v>40</v>
      </c>
      <c r="F286" t="s">
        <v>90</v>
      </c>
      <c r="G286" t="s">
        <v>18</v>
      </c>
      <c r="H286">
        <v>1</v>
      </c>
      <c r="I286">
        <v>6579</v>
      </c>
      <c r="J286">
        <v>20</v>
      </c>
      <c r="K286" t="s">
        <v>19</v>
      </c>
      <c r="L286" t="s">
        <v>20</v>
      </c>
      <c r="M286">
        <v>3</v>
      </c>
    </row>
    <row r="287" spans="1:13" x14ac:dyDescent="0.3">
      <c r="A287" t="s">
        <v>509</v>
      </c>
      <c r="B287" s="2">
        <v>46077</v>
      </c>
      <c r="C287" t="s">
        <v>510</v>
      </c>
      <c r="D287" t="s">
        <v>23</v>
      </c>
      <c r="E287" t="s">
        <v>81</v>
      </c>
      <c r="F287" t="s">
        <v>17</v>
      </c>
      <c r="G287" t="s">
        <v>18</v>
      </c>
      <c r="H287">
        <v>1</v>
      </c>
      <c r="I287">
        <v>47818</v>
      </c>
      <c r="J287">
        <v>10</v>
      </c>
      <c r="K287" t="s">
        <v>27</v>
      </c>
      <c r="L287" t="s">
        <v>20</v>
      </c>
      <c r="M287">
        <v>2</v>
      </c>
    </row>
    <row r="288" spans="1:13" x14ac:dyDescent="0.3">
      <c r="A288" t="s">
        <v>511</v>
      </c>
      <c r="B288" s="2">
        <v>46177</v>
      </c>
      <c r="C288" t="s">
        <v>512</v>
      </c>
      <c r="D288" t="s">
        <v>15</v>
      </c>
      <c r="E288" t="s">
        <v>24</v>
      </c>
      <c r="F288" t="s">
        <v>127</v>
      </c>
      <c r="G288" t="s">
        <v>55</v>
      </c>
      <c r="H288">
        <v>1</v>
      </c>
      <c r="I288">
        <v>3300</v>
      </c>
      <c r="J288">
        <v>10</v>
      </c>
      <c r="K288" t="s">
        <v>19</v>
      </c>
      <c r="L288" t="s">
        <v>20</v>
      </c>
      <c r="M288">
        <v>4</v>
      </c>
    </row>
    <row r="289" spans="1:13" x14ac:dyDescent="0.3">
      <c r="A289" t="s">
        <v>513</v>
      </c>
      <c r="B289" s="2">
        <v>46039</v>
      </c>
      <c r="C289" t="s">
        <v>246</v>
      </c>
      <c r="D289" t="s">
        <v>23</v>
      </c>
      <c r="E289" t="s">
        <v>16</v>
      </c>
      <c r="F289" t="s">
        <v>190</v>
      </c>
      <c r="G289" t="s">
        <v>55</v>
      </c>
      <c r="H289">
        <v>1</v>
      </c>
      <c r="I289">
        <v>2500</v>
      </c>
      <c r="J289">
        <v>10</v>
      </c>
      <c r="K289" t="s">
        <v>19</v>
      </c>
      <c r="L289" t="s">
        <v>20</v>
      </c>
      <c r="M289">
        <v>4</v>
      </c>
    </row>
    <row r="290" spans="1:13" x14ac:dyDescent="0.3">
      <c r="A290" t="s">
        <v>514</v>
      </c>
      <c r="B290" s="2">
        <v>46170</v>
      </c>
      <c r="C290" t="s">
        <v>205</v>
      </c>
      <c r="D290" t="s">
        <v>98</v>
      </c>
      <c r="E290" t="s">
        <v>36</v>
      </c>
      <c r="F290" t="s">
        <v>62</v>
      </c>
      <c r="G290" t="s">
        <v>50</v>
      </c>
      <c r="H290">
        <v>1</v>
      </c>
      <c r="I290">
        <v>884</v>
      </c>
      <c r="J290">
        <v>0</v>
      </c>
      <c r="K290" t="s">
        <v>19</v>
      </c>
      <c r="L290" t="s">
        <v>20</v>
      </c>
      <c r="M290">
        <v>1</v>
      </c>
    </row>
    <row r="291" spans="1:13" x14ac:dyDescent="0.3">
      <c r="A291" t="s">
        <v>515</v>
      </c>
      <c r="B291" s="2">
        <v>46171</v>
      </c>
      <c r="C291" t="s">
        <v>179</v>
      </c>
      <c r="D291" t="s">
        <v>23</v>
      </c>
      <c r="E291" t="s">
        <v>40</v>
      </c>
      <c r="F291" t="s">
        <v>383</v>
      </c>
      <c r="G291" t="s">
        <v>26</v>
      </c>
      <c r="H291">
        <v>1</v>
      </c>
      <c r="I291">
        <v>862</v>
      </c>
      <c r="J291">
        <v>20</v>
      </c>
      <c r="K291" t="s">
        <v>91</v>
      </c>
      <c r="L291" t="s">
        <v>46</v>
      </c>
      <c r="M291">
        <v>0</v>
      </c>
    </row>
    <row r="292" spans="1:13" x14ac:dyDescent="0.3">
      <c r="A292" t="s">
        <v>516</v>
      </c>
      <c r="B292" s="2">
        <v>46154</v>
      </c>
      <c r="C292" t="s">
        <v>163</v>
      </c>
      <c r="D292" t="s">
        <v>39</v>
      </c>
      <c r="E292" t="s">
        <v>16</v>
      </c>
      <c r="F292" t="s">
        <v>44</v>
      </c>
      <c r="G292" t="s">
        <v>45</v>
      </c>
      <c r="H292">
        <v>1</v>
      </c>
      <c r="I292">
        <v>1100</v>
      </c>
      <c r="J292">
        <v>5</v>
      </c>
      <c r="K292" t="s">
        <v>19</v>
      </c>
      <c r="L292" t="s">
        <v>20</v>
      </c>
      <c r="M292">
        <v>4</v>
      </c>
    </row>
    <row r="293" spans="1:13" x14ac:dyDescent="0.3">
      <c r="A293" t="s">
        <v>517</v>
      </c>
      <c r="B293" s="2">
        <v>46178</v>
      </c>
      <c r="C293" t="s">
        <v>104</v>
      </c>
      <c r="D293" t="s">
        <v>35</v>
      </c>
      <c r="E293" t="s">
        <v>117</v>
      </c>
      <c r="F293" t="s">
        <v>124</v>
      </c>
      <c r="G293" t="s">
        <v>55</v>
      </c>
      <c r="H293">
        <v>2</v>
      </c>
      <c r="I293">
        <v>1900</v>
      </c>
      <c r="J293">
        <v>10</v>
      </c>
      <c r="K293" t="s">
        <v>19</v>
      </c>
      <c r="L293" t="s">
        <v>20</v>
      </c>
      <c r="M293">
        <v>4</v>
      </c>
    </row>
    <row r="294" spans="1:13" x14ac:dyDescent="0.3">
      <c r="A294" t="s">
        <v>518</v>
      </c>
      <c r="B294" s="2">
        <v>46089</v>
      </c>
      <c r="C294" t="s">
        <v>519</v>
      </c>
      <c r="D294" t="s">
        <v>23</v>
      </c>
      <c r="E294" t="s">
        <v>40</v>
      </c>
      <c r="F294" t="s">
        <v>131</v>
      </c>
      <c r="G294" t="s">
        <v>55</v>
      </c>
      <c r="H294">
        <v>1</v>
      </c>
      <c r="I294">
        <v>2800</v>
      </c>
      <c r="J294">
        <v>20</v>
      </c>
      <c r="K294" t="s">
        <v>19</v>
      </c>
      <c r="L294" t="s">
        <v>20</v>
      </c>
      <c r="M294">
        <v>6</v>
      </c>
    </row>
    <row r="295" spans="1:13" x14ac:dyDescent="0.3">
      <c r="A295" t="s">
        <v>520</v>
      </c>
      <c r="B295" s="2">
        <v>46079</v>
      </c>
      <c r="C295" t="s">
        <v>519</v>
      </c>
      <c r="D295" t="s">
        <v>23</v>
      </c>
      <c r="E295" t="s">
        <v>117</v>
      </c>
      <c r="F295" t="s">
        <v>17</v>
      </c>
      <c r="G295" t="s">
        <v>18</v>
      </c>
      <c r="H295">
        <v>4</v>
      </c>
      <c r="I295">
        <v>44232</v>
      </c>
      <c r="J295">
        <v>5</v>
      </c>
      <c r="K295" t="s">
        <v>19</v>
      </c>
      <c r="L295" t="s">
        <v>20</v>
      </c>
      <c r="M295">
        <v>4</v>
      </c>
    </row>
    <row r="296" spans="1:13" x14ac:dyDescent="0.3">
      <c r="A296" t="s">
        <v>521</v>
      </c>
      <c r="B296" s="2">
        <v>46163</v>
      </c>
      <c r="C296" t="s">
        <v>183</v>
      </c>
      <c r="D296" t="s">
        <v>184</v>
      </c>
      <c r="E296" t="s">
        <v>40</v>
      </c>
      <c r="F296" t="s">
        <v>131</v>
      </c>
      <c r="G296" t="s">
        <v>55</v>
      </c>
      <c r="H296">
        <v>1</v>
      </c>
      <c r="I296">
        <v>2900</v>
      </c>
      <c r="J296">
        <v>5</v>
      </c>
      <c r="K296" t="s">
        <v>19</v>
      </c>
      <c r="L296" t="s">
        <v>20</v>
      </c>
      <c r="M296">
        <v>3</v>
      </c>
    </row>
    <row r="297" spans="1:13" x14ac:dyDescent="0.3">
      <c r="A297" t="s">
        <v>522</v>
      </c>
      <c r="B297" s="2">
        <v>46140</v>
      </c>
      <c r="C297" t="s">
        <v>510</v>
      </c>
      <c r="D297" t="s">
        <v>23</v>
      </c>
      <c r="E297" t="s">
        <v>40</v>
      </c>
      <c r="F297" t="s">
        <v>17</v>
      </c>
      <c r="G297" t="s">
        <v>18</v>
      </c>
      <c r="H297">
        <v>1</v>
      </c>
      <c r="I297">
        <v>38853</v>
      </c>
      <c r="J297">
        <v>10</v>
      </c>
      <c r="K297" t="s">
        <v>19</v>
      </c>
      <c r="L297" t="s">
        <v>20</v>
      </c>
      <c r="M297">
        <v>2</v>
      </c>
    </row>
    <row r="298" spans="1:13" x14ac:dyDescent="0.3">
      <c r="A298" t="s">
        <v>523</v>
      </c>
      <c r="B298" s="2">
        <v>46161</v>
      </c>
      <c r="C298" t="s">
        <v>434</v>
      </c>
      <c r="D298" t="s">
        <v>109</v>
      </c>
      <c r="E298" t="s">
        <v>117</v>
      </c>
      <c r="F298" t="s">
        <v>127</v>
      </c>
      <c r="G298" t="s">
        <v>55</v>
      </c>
      <c r="H298">
        <v>3</v>
      </c>
      <c r="I298">
        <v>800</v>
      </c>
      <c r="J298">
        <v>10</v>
      </c>
      <c r="K298" t="s">
        <v>19</v>
      </c>
      <c r="L298" t="s">
        <v>20</v>
      </c>
      <c r="M298">
        <v>5</v>
      </c>
    </row>
    <row r="299" spans="1:13" x14ac:dyDescent="0.3">
      <c r="A299" t="s">
        <v>524</v>
      </c>
      <c r="B299" s="2">
        <v>46073</v>
      </c>
      <c r="C299" t="s">
        <v>519</v>
      </c>
      <c r="D299" t="s">
        <v>23</v>
      </c>
      <c r="E299" t="s">
        <v>31</v>
      </c>
      <c r="F299" t="s">
        <v>44</v>
      </c>
      <c r="G299" t="s">
        <v>45</v>
      </c>
      <c r="H299">
        <v>1</v>
      </c>
      <c r="I299">
        <v>500</v>
      </c>
      <c r="J299">
        <v>0</v>
      </c>
      <c r="K299" t="s">
        <v>56</v>
      </c>
      <c r="L299" t="s">
        <v>20</v>
      </c>
      <c r="M299">
        <v>1</v>
      </c>
    </row>
    <row r="300" spans="1:13" x14ac:dyDescent="0.3">
      <c r="A300" t="s">
        <v>525</v>
      </c>
      <c r="B300" s="2">
        <v>46095</v>
      </c>
      <c r="C300" t="s">
        <v>434</v>
      </c>
      <c r="D300" t="s">
        <v>109</v>
      </c>
      <c r="E300" t="s">
        <v>31</v>
      </c>
      <c r="F300" t="s">
        <v>190</v>
      </c>
      <c r="G300" t="s">
        <v>55</v>
      </c>
      <c r="H300">
        <v>2</v>
      </c>
      <c r="I300">
        <v>2500</v>
      </c>
      <c r="J300">
        <v>15</v>
      </c>
      <c r="K300" t="s">
        <v>56</v>
      </c>
      <c r="L300" t="s">
        <v>20</v>
      </c>
      <c r="M300">
        <v>4</v>
      </c>
    </row>
    <row r="301" spans="1:13" x14ac:dyDescent="0.3">
      <c r="A301" t="s">
        <v>526</v>
      </c>
      <c r="B301" s="2">
        <v>46103</v>
      </c>
      <c r="C301" t="s">
        <v>527</v>
      </c>
      <c r="D301" t="s">
        <v>231</v>
      </c>
      <c r="E301" t="s">
        <v>31</v>
      </c>
      <c r="F301" t="s">
        <v>32</v>
      </c>
      <c r="G301" t="s">
        <v>18</v>
      </c>
      <c r="H301">
        <v>1</v>
      </c>
      <c r="I301">
        <v>31681</v>
      </c>
      <c r="J301">
        <v>15</v>
      </c>
      <c r="K301" t="s">
        <v>19</v>
      </c>
      <c r="L301" t="s">
        <v>20</v>
      </c>
      <c r="M301">
        <v>5</v>
      </c>
    </row>
    <row r="302" spans="1:13" x14ac:dyDescent="0.3">
      <c r="A302" t="s">
        <v>528</v>
      </c>
      <c r="B302" s="2">
        <v>46081</v>
      </c>
      <c r="C302" t="s">
        <v>275</v>
      </c>
      <c r="D302" t="s">
        <v>75</v>
      </c>
      <c r="E302" t="s">
        <v>40</v>
      </c>
      <c r="F302" t="s">
        <v>68</v>
      </c>
      <c r="G302" t="s">
        <v>26</v>
      </c>
      <c r="H302">
        <v>1</v>
      </c>
      <c r="I302">
        <v>1066</v>
      </c>
      <c r="J302">
        <v>5</v>
      </c>
      <c r="K302" t="s">
        <v>19</v>
      </c>
      <c r="L302" t="s">
        <v>20</v>
      </c>
      <c r="M302">
        <v>3</v>
      </c>
    </row>
    <row r="303" spans="1:13" x14ac:dyDescent="0.3">
      <c r="A303" t="s">
        <v>529</v>
      </c>
      <c r="B303" s="2">
        <v>46086</v>
      </c>
      <c r="C303" t="s">
        <v>230</v>
      </c>
      <c r="D303" t="s">
        <v>231</v>
      </c>
      <c r="E303" t="s">
        <v>81</v>
      </c>
      <c r="F303" t="s">
        <v>85</v>
      </c>
      <c r="G303" t="s">
        <v>45</v>
      </c>
      <c r="H303">
        <v>2</v>
      </c>
      <c r="I303">
        <v>650</v>
      </c>
      <c r="J303">
        <v>0</v>
      </c>
      <c r="K303" t="s">
        <v>19</v>
      </c>
      <c r="L303" t="s">
        <v>20</v>
      </c>
      <c r="M303">
        <v>2</v>
      </c>
    </row>
    <row r="304" spans="1:13" x14ac:dyDescent="0.3">
      <c r="A304" t="s">
        <v>530</v>
      </c>
      <c r="B304" s="2">
        <v>46029</v>
      </c>
      <c r="C304" t="s">
        <v>74</v>
      </c>
      <c r="D304" t="s">
        <v>75</v>
      </c>
      <c r="E304" t="s">
        <v>31</v>
      </c>
      <c r="F304" t="s">
        <v>44</v>
      </c>
      <c r="G304" t="s">
        <v>45</v>
      </c>
      <c r="H304">
        <v>4</v>
      </c>
      <c r="I304">
        <v>900</v>
      </c>
      <c r="J304">
        <v>10</v>
      </c>
      <c r="K304" t="s">
        <v>19</v>
      </c>
      <c r="L304" t="s">
        <v>20</v>
      </c>
      <c r="M304">
        <v>3</v>
      </c>
    </row>
    <row r="305" spans="1:13" x14ac:dyDescent="0.3">
      <c r="A305" t="s">
        <v>531</v>
      </c>
      <c r="B305" s="2">
        <v>46034</v>
      </c>
      <c r="C305" t="s">
        <v>151</v>
      </c>
      <c r="D305" t="s">
        <v>98</v>
      </c>
      <c r="E305" t="s">
        <v>31</v>
      </c>
      <c r="F305" t="s">
        <v>54</v>
      </c>
      <c r="G305" t="s">
        <v>55</v>
      </c>
      <c r="H305">
        <v>1</v>
      </c>
      <c r="I305">
        <v>1600</v>
      </c>
      <c r="J305">
        <v>5</v>
      </c>
      <c r="K305" t="s">
        <v>56</v>
      </c>
      <c r="L305" t="s">
        <v>20</v>
      </c>
      <c r="M305">
        <v>4</v>
      </c>
    </row>
    <row r="306" spans="1:13" x14ac:dyDescent="0.3">
      <c r="A306" t="s">
        <v>532</v>
      </c>
      <c r="B306" s="2">
        <v>46145</v>
      </c>
      <c r="C306" t="s">
        <v>470</v>
      </c>
      <c r="D306" t="s">
        <v>184</v>
      </c>
      <c r="E306" t="s">
        <v>36</v>
      </c>
      <c r="F306" t="s">
        <v>190</v>
      </c>
      <c r="G306" t="s">
        <v>55</v>
      </c>
      <c r="H306">
        <v>1</v>
      </c>
      <c r="I306">
        <v>500</v>
      </c>
      <c r="J306">
        <v>10</v>
      </c>
      <c r="K306" t="s">
        <v>27</v>
      </c>
      <c r="L306" t="s">
        <v>20</v>
      </c>
      <c r="M306">
        <v>2</v>
      </c>
    </row>
    <row r="307" spans="1:13" x14ac:dyDescent="0.3">
      <c r="A307" t="s">
        <v>533</v>
      </c>
      <c r="B307" s="2">
        <v>46150</v>
      </c>
      <c r="C307" t="s">
        <v>534</v>
      </c>
      <c r="D307" t="s">
        <v>39</v>
      </c>
      <c r="E307" t="s">
        <v>81</v>
      </c>
      <c r="F307" t="s">
        <v>17</v>
      </c>
      <c r="G307" t="s">
        <v>18</v>
      </c>
      <c r="H307">
        <v>1</v>
      </c>
      <c r="I307">
        <v>42439</v>
      </c>
      <c r="J307">
        <v>5</v>
      </c>
      <c r="K307" t="s">
        <v>91</v>
      </c>
      <c r="L307" t="s">
        <v>20</v>
      </c>
      <c r="M307">
        <v>2</v>
      </c>
    </row>
    <row r="308" spans="1:13" x14ac:dyDescent="0.3">
      <c r="A308" t="s">
        <v>535</v>
      </c>
      <c r="B308" s="2">
        <v>46080</v>
      </c>
      <c r="C308" t="s">
        <v>248</v>
      </c>
      <c r="D308" t="s">
        <v>30</v>
      </c>
      <c r="E308" t="s">
        <v>36</v>
      </c>
      <c r="F308" t="s">
        <v>131</v>
      </c>
      <c r="G308" t="s">
        <v>55</v>
      </c>
      <c r="H308">
        <v>2</v>
      </c>
      <c r="I308">
        <v>2200</v>
      </c>
      <c r="J308">
        <v>5</v>
      </c>
      <c r="K308" t="s">
        <v>19</v>
      </c>
      <c r="L308" t="s">
        <v>20</v>
      </c>
      <c r="M308">
        <v>5</v>
      </c>
    </row>
    <row r="309" spans="1:13" x14ac:dyDescent="0.3">
      <c r="A309" t="s">
        <v>536</v>
      </c>
      <c r="B309" s="2">
        <v>46032</v>
      </c>
      <c r="C309" t="s">
        <v>100</v>
      </c>
      <c r="D309" t="s">
        <v>101</v>
      </c>
      <c r="E309" t="s">
        <v>40</v>
      </c>
      <c r="F309" t="s">
        <v>25</v>
      </c>
      <c r="G309" t="s">
        <v>26</v>
      </c>
      <c r="H309">
        <v>1</v>
      </c>
      <c r="I309">
        <v>1627</v>
      </c>
      <c r="J309">
        <v>10</v>
      </c>
      <c r="K309" t="s">
        <v>19</v>
      </c>
      <c r="L309" t="s">
        <v>20</v>
      </c>
      <c r="M309">
        <v>2</v>
      </c>
    </row>
    <row r="310" spans="1:13" x14ac:dyDescent="0.3">
      <c r="A310" t="s">
        <v>537</v>
      </c>
      <c r="B310" s="2">
        <v>46130</v>
      </c>
      <c r="C310" t="s">
        <v>320</v>
      </c>
      <c r="D310" t="s">
        <v>75</v>
      </c>
      <c r="E310" t="s">
        <v>40</v>
      </c>
      <c r="F310" t="s">
        <v>90</v>
      </c>
      <c r="G310" t="s">
        <v>18</v>
      </c>
      <c r="H310">
        <v>1</v>
      </c>
      <c r="I310">
        <v>53197</v>
      </c>
      <c r="J310">
        <v>15</v>
      </c>
      <c r="K310" t="s">
        <v>19</v>
      </c>
      <c r="L310" t="s">
        <v>20</v>
      </c>
      <c r="M310">
        <v>3</v>
      </c>
    </row>
    <row r="311" spans="1:13" x14ac:dyDescent="0.3">
      <c r="A311" t="s">
        <v>538</v>
      </c>
      <c r="B311" s="2">
        <v>46118</v>
      </c>
      <c r="C311" t="s">
        <v>410</v>
      </c>
      <c r="D311" t="s">
        <v>116</v>
      </c>
      <c r="E311" t="s">
        <v>117</v>
      </c>
      <c r="F311" t="s">
        <v>190</v>
      </c>
      <c r="G311" t="s">
        <v>55</v>
      </c>
      <c r="H311">
        <v>1</v>
      </c>
      <c r="I311">
        <v>3100</v>
      </c>
      <c r="J311">
        <v>20</v>
      </c>
      <c r="K311" t="s">
        <v>91</v>
      </c>
      <c r="L311" t="s">
        <v>20</v>
      </c>
      <c r="M311">
        <v>5</v>
      </c>
    </row>
    <row r="312" spans="1:13" x14ac:dyDescent="0.3">
      <c r="A312" t="s">
        <v>539</v>
      </c>
      <c r="B312" s="2">
        <v>46044</v>
      </c>
      <c r="C312" t="s">
        <v>360</v>
      </c>
      <c r="D312" t="s">
        <v>116</v>
      </c>
      <c r="E312" t="s">
        <v>117</v>
      </c>
      <c r="F312" t="s">
        <v>131</v>
      </c>
      <c r="G312" t="s">
        <v>55</v>
      </c>
      <c r="H312">
        <v>1</v>
      </c>
      <c r="I312">
        <v>3200</v>
      </c>
      <c r="J312">
        <v>5</v>
      </c>
      <c r="K312" t="s">
        <v>91</v>
      </c>
      <c r="L312" t="s">
        <v>20</v>
      </c>
      <c r="M312">
        <v>5</v>
      </c>
    </row>
    <row r="313" spans="1:13" x14ac:dyDescent="0.3">
      <c r="A313" t="s">
        <v>540</v>
      </c>
      <c r="B313" s="2">
        <v>46151</v>
      </c>
      <c r="C313" t="s">
        <v>541</v>
      </c>
      <c r="E313" t="s">
        <v>31</v>
      </c>
      <c r="F313" t="s">
        <v>25</v>
      </c>
      <c r="G313" t="s">
        <v>26</v>
      </c>
      <c r="H313">
        <v>4</v>
      </c>
      <c r="I313">
        <v>505</v>
      </c>
      <c r="J313">
        <v>0</v>
      </c>
      <c r="K313" t="s">
        <v>19</v>
      </c>
      <c r="L313" t="s">
        <v>20</v>
      </c>
      <c r="M313">
        <v>3</v>
      </c>
    </row>
    <row r="314" spans="1:13" x14ac:dyDescent="0.3">
      <c r="A314" t="s">
        <v>542</v>
      </c>
      <c r="B314" s="2">
        <v>46175</v>
      </c>
      <c r="C314" t="s">
        <v>543</v>
      </c>
      <c r="D314" t="s">
        <v>161</v>
      </c>
      <c r="E314" t="s">
        <v>40</v>
      </c>
      <c r="F314" t="s">
        <v>131</v>
      </c>
      <c r="G314" t="s">
        <v>55</v>
      </c>
      <c r="H314">
        <v>2</v>
      </c>
      <c r="I314">
        <v>3100</v>
      </c>
      <c r="J314">
        <v>0</v>
      </c>
      <c r="K314" t="s">
        <v>27</v>
      </c>
      <c r="L314" t="s">
        <v>20</v>
      </c>
      <c r="M314">
        <v>4</v>
      </c>
    </row>
    <row r="315" spans="1:13" x14ac:dyDescent="0.3">
      <c r="A315" t="s">
        <v>544</v>
      </c>
      <c r="B315" s="2">
        <v>46063</v>
      </c>
      <c r="C315" t="s">
        <v>338</v>
      </c>
      <c r="D315" t="s">
        <v>61</v>
      </c>
      <c r="E315" t="s">
        <v>31</v>
      </c>
      <c r="F315" t="s">
        <v>68</v>
      </c>
      <c r="G315" t="s">
        <v>26</v>
      </c>
      <c r="H315">
        <v>2</v>
      </c>
      <c r="I315">
        <v>1270</v>
      </c>
      <c r="J315">
        <v>15</v>
      </c>
      <c r="K315" t="s">
        <v>19</v>
      </c>
      <c r="L315" t="s">
        <v>20</v>
      </c>
      <c r="M315">
        <v>2</v>
      </c>
    </row>
    <row r="316" spans="1:13" x14ac:dyDescent="0.3">
      <c r="A316" t="s">
        <v>545</v>
      </c>
      <c r="B316" s="2">
        <v>46056</v>
      </c>
      <c r="C316" t="s">
        <v>546</v>
      </c>
      <c r="D316" t="s">
        <v>80</v>
      </c>
      <c r="E316" t="s">
        <v>36</v>
      </c>
      <c r="F316" t="s">
        <v>54</v>
      </c>
      <c r="G316" t="s">
        <v>55</v>
      </c>
      <c r="H316">
        <v>1</v>
      </c>
      <c r="I316">
        <v>3400</v>
      </c>
      <c r="J316">
        <v>10</v>
      </c>
      <c r="K316" t="s">
        <v>19</v>
      </c>
      <c r="L316" t="s">
        <v>46</v>
      </c>
      <c r="M316">
        <v>0</v>
      </c>
    </row>
    <row r="317" spans="1:13" x14ac:dyDescent="0.3">
      <c r="A317" t="s">
        <v>547</v>
      </c>
      <c r="B317" s="2">
        <v>46104</v>
      </c>
      <c r="C317" t="s">
        <v>425</v>
      </c>
      <c r="D317" t="s">
        <v>43</v>
      </c>
      <c r="E317" t="s">
        <v>16</v>
      </c>
      <c r="F317" t="s">
        <v>383</v>
      </c>
      <c r="G317" t="s">
        <v>26</v>
      </c>
      <c r="H317">
        <v>1</v>
      </c>
      <c r="I317">
        <v>1780</v>
      </c>
      <c r="J317">
        <v>5</v>
      </c>
      <c r="K317" t="s">
        <v>27</v>
      </c>
      <c r="L317" t="s">
        <v>20</v>
      </c>
      <c r="M317">
        <v>1</v>
      </c>
    </row>
    <row r="318" spans="1:13" x14ac:dyDescent="0.3">
      <c r="A318" t="s">
        <v>548</v>
      </c>
      <c r="B318" s="2">
        <v>46113</v>
      </c>
      <c r="C318" t="s">
        <v>70</v>
      </c>
      <c r="D318" t="s">
        <v>71</v>
      </c>
      <c r="E318" t="s">
        <v>40</v>
      </c>
      <c r="F318" t="s">
        <v>90</v>
      </c>
      <c r="G318" t="s">
        <v>18</v>
      </c>
      <c r="H318">
        <v>3</v>
      </c>
      <c r="I318">
        <v>29888</v>
      </c>
      <c r="J318">
        <v>10</v>
      </c>
      <c r="K318" t="s">
        <v>27</v>
      </c>
      <c r="L318" t="s">
        <v>20</v>
      </c>
      <c r="M318">
        <v>5</v>
      </c>
    </row>
    <row r="319" spans="1:13" x14ac:dyDescent="0.3">
      <c r="A319" t="s">
        <v>549</v>
      </c>
      <c r="B319" s="2">
        <v>46104</v>
      </c>
      <c r="C319" t="s">
        <v>441</v>
      </c>
      <c r="D319" t="s">
        <v>184</v>
      </c>
      <c r="E319" t="s">
        <v>16</v>
      </c>
      <c r="F319" t="s">
        <v>131</v>
      </c>
      <c r="G319" t="s">
        <v>55</v>
      </c>
      <c r="H319">
        <v>1</v>
      </c>
      <c r="I319">
        <v>3000</v>
      </c>
      <c r="J319">
        <v>15</v>
      </c>
      <c r="K319" t="s">
        <v>27</v>
      </c>
      <c r="L319" t="s">
        <v>20</v>
      </c>
      <c r="M319">
        <v>4</v>
      </c>
    </row>
    <row r="320" spans="1:13" x14ac:dyDescent="0.3">
      <c r="A320" t="s">
        <v>550</v>
      </c>
      <c r="B320" s="2">
        <v>46059</v>
      </c>
      <c r="C320" t="s">
        <v>77</v>
      </c>
      <c r="D320" t="s">
        <v>23</v>
      </c>
      <c r="E320" t="s">
        <v>16</v>
      </c>
      <c r="F320" t="s">
        <v>54</v>
      </c>
      <c r="G320" t="s">
        <v>55</v>
      </c>
      <c r="H320">
        <v>1</v>
      </c>
      <c r="I320">
        <v>3000</v>
      </c>
      <c r="J320">
        <v>5</v>
      </c>
      <c r="K320" t="s">
        <v>27</v>
      </c>
      <c r="L320" t="s">
        <v>20</v>
      </c>
      <c r="M320">
        <v>6</v>
      </c>
    </row>
    <row r="321" spans="1:13" x14ac:dyDescent="0.3">
      <c r="A321" t="s">
        <v>551</v>
      </c>
      <c r="B321" s="2">
        <v>46077</v>
      </c>
      <c r="C321" t="s">
        <v>552</v>
      </c>
      <c r="D321" t="s">
        <v>231</v>
      </c>
      <c r="E321" t="s">
        <v>81</v>
      </c>
      <c r="F321" t="s">
        <v>156</v>
      </c>
      <c r="G321" t="s">
        <v>18</v>
      </c>
      <c r="H321">
        <v>3</v>
      </c>
      <c r="I321">
        <v>1200</v>
      </c>
      <c r="J321">
        <v>0</v>
      </c>
      <c r="K321" t="s">
        <v>27</v>
      </c>
      <c r="L321" t="s">
        <v>20</v>
      </c>
      <c r="M321">
        <v>3</v>
      </c>
    </row>
    <row r="322" spans="1:13" x14ac:dyDescent="0.3">
      <c r="A322" t="s">
        <v>553</v>
      </c>
      <c r="B322" s="2">
        <v>46043</v>
      </c>
      <c r="C322" t="s">
        <v>554</v>
      </c>
      <c r="D322" t="s">
        <v>161</v>
      </c>
      <c r="E322" t="s">
        <v>81</v>
      </c>
      <c r="F322" t="s">
        <v>88</v>
      </c>
      <c r="G322" t="s">
        <v>26</v>
      </c>
      <c r="H322">
        <v>1</v>
      </c>
      <c r="I322">
        <v>1168</v>
      </c>
      <c r="J322">
        <v>5</v>
      </c>
      <c r="K322" t="s">
        <v>19</v>
      </c>
      <c r="L322" t="s">
        <v>20</v>
      </c>
      <c r="M322">
        <v>6</v>
      </c>
    </row>
    <row r="323" spans="1:13" x14ac:dyDescent="0.3">
      <c r="A323" t="s">
        <v>555</v>
      </c>
      <c r="B323" s="2">
        <v>46083</v>
      </c>
      <c r="C323" t="s">
        <v>446</v>
      </c>
      <c r="D323" t="s">
        <v>71</v>
      </c>
      <c r="E323" t="s">
        <v>31</v>
      </c>
      <c r="F323" t="s">
        <v>68</v>
      </c>
      <c r="G323" t="s">
        <v>26</v>
      </c>
      <c r="H323">
        <v>1</v>
      </c>
      <c r="I323">
        <v>862</v>
      </c>
      <c r="J323">
        <v>20</v>
      </c>
      <c r="K323" t="s">
        <v>91</v>
      </c>
      <c r="L323" t="s">
        <v>20</v>
      </c>
      <c r="M323">
        <v>4</v>
      </c>
    </row>
    <row r="324" spans="1:13" x14ac:dyDescent="0.3">
      <c r="A324" t="s">
        <v>556</v>
      </c>
      <c r="B324" s="2">
        <v>46128</v>
      </c>
      <c r="C324" t="s">
        <v>422</v>
      </c>
      <c r="D324" t="s">
        <v>184</v>
      </c>
      <c r="E324" t="s">
        <v>31</v>
      </c>
      <c r="F324" t="s">
        <v>156</v>
      </c>
      <c r="G324" t="s">
        <v>18</v>
      </c>
      <c r="H324">
        <v>3</v>
      </c>
      <c r="I324">
        <v>37060</v>
      </c>
      <c r="J324">
        <v>0</v>
      </c>
      <c r="K324" t="s">
        <v>56</v>
      </c>
      <c r="L324" t="s">
        <v>20</v>
      </c>
      <c r="M324">
        <v>5</v>
      </c>
    </row>
    <row r="325" spans="1:13" x14ac:dyDescent="0.3">
      <c r="A325" t="s">
        <v>557</v>
      </c>
      <c r="B325" s="2">
        <v>46098</v>
      </c>
      <c r="C325" t="s">
        <v>163</v>
      </c>
      <c r="D325" t="s">
        <v>39</v>
      </c>
      <c r="E325" t="s">
        <v>65</v>
      </c>
      <c r="F325" t="s">
        <v>68</v>
      </c>
      <c r="G325" t="s">
        <v>26</v>
      </c>
      <c r="H325">
        <v>1</v>
      </c>
      <c r="I325">
        <v>1780</v>
      </c>
      <c r="J325">
        <v>0</v>
      </c>
      <c r="K325" t="s">
        <v>27</v>
      </c>
      <c r="L325" t="s">
        <v>20</v>
      </c>
      <c r="M325">
        <v>3</v>
      </c>
    </row>
    <row r="326" spans="1:13" x14ac:dyDescent="0.3">
      <c r="A326" t="s">
        <v>558</v>
      </c>
      <c r="B326" s="2">
        <v>46138</v>
      </c>
      <c r="C326" t="s">
        <v>546</v>
      </c>
      <c r="D326" t="s">
        <v>80</v>
      </c>
      <c r="E326" t="s">
        <v>31</v>
      </c>
      <c r="F326" t="s">
        <v>156</v>
      </c>
      <c r="G326" t="s">
        <v>18</v>
      </c>
      <c r="H326">
        <v>1</v>
      </c>
      <c r="I326">
        <v>40646</v>
      </c>
      <c r="J326">
        <v>15</v>
      </c>
      <c r="K326" t="s">
        <v>56</v>
      </c>
      <c r="L326" t="s">
        <v>20</v>
      </c>
      <c r="M326">
        <v>3</v>
      </c>
    </row>
    <row r="327" spans="1:13" x14ac:dyDescent="0.3">
      <c r="A327" t="s">
        <v>559</v>
      </c>
      <c r="B327" s="2">
        <v>46137</v>
      </c>
      <c r="C327" t="s">
        <v>400</v>
      </c>
      <c r="D327" t="s">
        <v>116</v>
      </c>
      <c r="E327" t="s">
        <v>31</v>
      </c>
      <c r="F327" t="s">
        <v>141</v>
      </c>
      <c r="G327" t="s">
        <v>50</v>
      </c>
      <c r="H327">
        <v>1</v>
      </c>
      <c r="I327">
        <v>1030</v>
      </c>
      <c r="J327">
        <v>0</v>
      </c>
      <c r="K327" t="s">
        <v>19</v>
      </c>
      <c r="L327" t="s">
        <v>20</v>
      </c>
      <c r="M327">
        <v>4</v>
      </c>
    </row>
    <row r="328" spans="1:13" x14ac:dyDescent="0.3">
      <c r="A328" t="s">
        <v>560</v>
      </c>
      <c r="B328" s="2">
        <v>46148</v>
      </c>
      <c r="C328" t="s">
        <v>266</v>
      </c>
      <c r="D328" t="s">
        <v>80</v>
      </c>
      <c r="E328" t="s">
        <v>24</v>
      </c>
      <c r="F328" t="s">
        <v>135</v>
      </c>
      <c r="G328" t="s">
        <v>50</v>
      </c>
      <c r="H328">
        <v>1</v>
      </c>
      <c r="I328">
        <v>884</v>
      </c>
      <c r="J328">
        <v>5</v>
      </c>
      <c r="K328" t="s">
        <v>27</v>
      </c>
      <c r="L328" t="s">
        <v>20</v>
      </c>
      <c r="M328">
        <v>2</v>
      </c>
    </row>
    <row r="329" spans="1:13" x14ac:dyDescent="0.3">
      <c r="A329" t="s">
        <v>561</v>
      </c>
      <c r="B329" s="2">
        <v>46120</v>
      </c>
      <c r="C329" t="s">
        <v>187</v>
      </c>
      <c r="D329" t="s">
        <v>98</v>
      </c>
      <c r="E329" t="s">
        <v>40</v>
      </c>
      <c r="F329" t="s">
        <v>44</v>
      </c>
      <c r="G329" t="s">
        <v>45</v>
      </c>
      <c r="H329">
        <v>3</v>
      </c>
      <c r="I329">
        <v>900</v>
      </c>
      <c r="J329">
        <v>10</v>
      </c>
      <c r="K329" t="s">
        <v>27</v>
      </c>
      <c r="L329" t="s">
        <v>46</v>
      </c>
      <c r="M329">
        <v>0</v>
      </c>
    </row>
    <row r="330" spans="1:13" x14ac:dyDescent="0.3">
      <c r="A330" t="s">
        <v>562</v>
      </c>
      <c r="B330" s="2">
        <v>46150</v>
      </c>
      <c r="C330" t="s">
        <v>452</v>
      </c>
      <c r="D330" t="s">
        <v>149</v>
      </c>
      <c r="E330" t="s">
        <v>24</v>
      </c>
      <c r="F330" t="s">
        <v>135</v>
      </c>
      <c r="G330" t="s">
        <v>50</v>
      </c>
      <c r="H330">
        <v>2</v>
      </c>
      <c r="I330">
        <v>592</v>
      </c>
      <c r="J330">
        <v>10</v>
      </c>
      <c r="K330" t="s">
        <v>56</v>
      </c>
      <c r="L330" t="s">
        <v>46</v>
      </c>
      <c r="M330">
        <v>0</v>
      </c>
    </row>
    <row r="331" spans="1:13" x14ac:dyDescent="0.3">
      <c r="A331" t="s">
        <v>563</v>
      </c>
      <c r="B331" s="2">
        <v>46039</v>
      </c>
      <c r="C331" t="s">
        <v>93</v>
      </c>
      <c r="D331" t="s">
        <v>94</v>
      </c>
      <c r="E331" t="s">
        <v>65</v>
      </c>
      <c r="F331" t="s">
        <v>62</v>
      </c>
      <c r="G331" t="s">
        <v>50</v>
      </c>
      <c r="H331">
        <v>3</v>
      </c>
      <c r="I331">
        <v>1322</v>
      </c>
      <c r="J331">
        <v>5</v>
      </c>
      <c r="K331" t="s">
        <v>56</v>
      </c>
      <c r="L331" t="s">
        <v>20</v>
      </c>
      <c r="M331">
        <v>4</v>
      </c>
    </row>
    <row r="332" spans="1:13" x14ac:dyDescent="0.3">
      <c r="A332" t="s">
        <v>564</v>
      </c>
      <c r="B332" s="2">
        <v>46178</v>
      </c>
      <c r="C332" t="s">
        <v>470</v>
      </c>
      <c r="D332" t="s">
        <v>184</v>
      </c>
      <c r="E332" t="s">
        <v>81</v>
      </c>
      <c r="F332" t="s">
        <v>113</v>
      </c>
      <c r="G332" t="s">
        <v>26</v>
      </c>
      <c r="H332">
        <v>2</v>
      </c>
      <c r="I332">
        <v>1474</v>
      </c>
      <c r="J332">
        <v>5</v>
      </c>
      <c r="K332" t="s">
        <v>19</v>
      </c>
      <c r="L332" t="s">
        <v>20</v>
      </c>
      <c r="M332">
        <v>4</v>
      </c>
    </row>
    <row r="333" spans="1:13" x14ac:dyDescent="0.3">
      <c r="A333" t="s">
        <v>565</v>
      </c>
      <c r="B333" s="2">
        <v>46191</v>
      </c>
      <c r="C333" t="s">
        <v>566</v>
      </c>
      <c r="D333" t="s">
        <v>61</v>
      </c>
      <c r="E333" t="s">
        <v>65</v>
      </c>
      <c r="F333" t="s">
        <v>131</v>
      </c>
      <c r="G333" t="s">
        <v>55</v>
      </c>
      <c r="H333">
        <v>1</v>
      </c>
      <c r="I333">
        <v>1800</v>
      </c>
      <c r="J333">
        <v>15</v>
      </c>
      <c r="K333" t="s">
        <v>56</v>
      </c>
      <c r="L333" t="s">
        <v>20</v>
      </c>
      <c r="M333">
        <v>9</v>
      </c>
    </row>
    <row r="334" spans="1:13" x14ac:dyDescent="0.3">
      <c r="A334" t="s">
        <v>567</v>
      </c>
      <c r="B334" s="2">
        <v>46044</v>
      </c>
      <c r="C334" t="s">
        <v>410</v>
      </c>
      <c r="D334" t="s">
        <v>116</v>
      </c>
      <c r="E334" t="s">
        <v>40</v>
      </c>
      <c r="F334" t="s">
        <v>32</v>
      </c>
      <c r="G334" t="s">
        <v>18</v>
      </c>
      <c r="H334">
        <v>1</v>
      </c>
      <c r="I334">
        <v>26302</v>
      </c>
      <c r="J334">
        <v>10</v>
      </c>
      <c r="K334" t="s">
        <v>19</v>
      </c>
      <c r="L334" t="s">
        <v>20</v>
      </c>
      <c r="M334">
        <v>3</v>
      </c>
    </row>
    <row r="335" spans="1:13" x14ac:dyDescent="0.3">
      <c r="A335" t="s">
        <v>568</v>
      </c>
      <c r="B335" s="2">
        <v>46089</v>
      </c>
      <c r="C335" t="s">
        <v>441</v>
      </c>
      <c r="D335" t="s">
        <v>184</v>
      </c>
      <c r="E335" t="s">
        <v>31</v>
      </c>
      <c r="F335" t="s">
        <v>54</v>
      </c>
      <c r="G335" t="s">
        <v>55</v>
      </c>
      <c r="H335">
        <v>1</v>
      </c>
      <c r="I335">
        <v>2700</v>
      </c>
      <c r="J335">
        <v>10</v>
      </c>
      <c r="K335" t="s">
        <v>56</v>
      </c>
      <c r="L335" t="s">
        <v>20</v>
      </c>
      <c r="M335">
        <v>6</v>
      </c>
    </row>
    <row r="336" spans="1:13" x14ac:dyDescent="0.3">
      <c r="A336" t="s">
        <v>569</v>
      </c>
      <c r="B336" s="2">
        <v>46118</v>
      </c>
      <c r="C336" t="s">
        <v>477</v>
      </c>
      <c r="D336" t="s">
        <v>75</v>
      </c>
      <c r="E336" t="s">
        <v>36</v>
      </c>
      <c r="F336" t="s">
        <v>156</v>
      </c>
      <c r="G336" t="s">
        <v>18</v>
      </c>
      <c r="H336">
        <v>1</v>
      </c>
      <c r="I336">
        <v>15544</v>
      </c>
      <c r="J336">
        <v>15</v>
      </c>
      <c r="K336" t="s">
        <v>56</v>
      </c>
      <c r="L336" t="s">
        <v>20</v>
      </c>
      <c r="M336">
        <v>5</v>
      </c>
    </row>
    <row r="337" spans="1:13" x14ac:dyDescent="0.3">
      <c r="A337" t="s">
        <v>570</v>
      </c>
      <c r="B337" s="2">
        <v>46084</v>
      </c>
      <c r="C337" t="s">
        <v>510</v>
      </c>
      <c r="D337" t="s">
        <v>23</v>
      </c>
      <c r="E337" t="s">
        <v>16</v>
      </c>
      <c r="F337" t="s">
        <v>49</v>
      </c>
      <c r="G337" t="s">
        <v>50</v>
      </c>
      <c r="H337">
        <v>2</v>
      </c>
      <c r="I337">
        <v>446</v>
      </c>
      <c r="J337">
        <v>10</v>
      </c>
      <c r="K337" t="s">
        <v>56</v>
      </c>
      <c r="L337" t="s">
        <v>20</v>
      </c>
      <c r="M337">
        <v>4</v>
      </c>
    </row>
    <row r="338" spans="1:13" x14ac:dyDescent="0.3">
      <c r="A338" t="s">
        <v>571</v>
      </c>
      <c r="B338" s="2">
        <v>46149</v>
      </c>
      <c r="C338" t="s">
        <v>273</v>
      </c>
      <c r="D338" t="s">
        <v>15</v>
      </c>
      <c r="E338" t="s">
        <v>65</v>
      </c>
      <c r="F338" t="s">
        <v>68</v>
      </c>
      <c r="G338" t="s">
        <v>26</v>
      </c>
      <c r="H338">
        <v>2</v>
      </c>
      <c r="I338">
        <v>1015</v>
      </c>
      <c r="J338">
        <v>10</v>
      </c>
      <c r="K338" t="s">
        <v>27</v>
      </c>
      <c r="L338" t="s">
        <v>20</v>
      </c>
      <c r="M338">
        <v>5</v>
      </c>
    </row>
    <row r="339" spans="1:13" x14ac:dyDescent="0.3">
      <c r="A339" t="s">
        <v>572</v>
      </c>
      <c r="B339" s="2">
        <v>46098</v>
      </c>
      <c r="C339" t="s">
        <v>327</v>
      </c>
      <c r="D339" t="s">
        <v>35</v>
      </c>
      <c r="E339" t="s">
        <v>40</v>
      </c>
      <c r="F339" t="s">
        <v>383</v>
      </c>
      <c r="G339" t="s">
        <v>26</v>
      </c>
      <c r="H339">
        <v>1</v>
      </c>
      <c r="I339">
        <v>1474</v>
      </c>
      <c r="J339">
        <v>5</v>
      </c>
      <c r="K339" t="s">
        <v>27</v>
      </c>
      <c r="L339" t="s">
        <v>46</v>
      </c>
      <c r="M339">
        <v>0</v>
      </c>
    </row>
    <row r="340" spans="1:13" x14ac:dyDescent="0.3">
      <c r="A340" t="s">
        <v>573</v>
      </c>
      <c r="B340" s="2">
        <v>46161</v>
      </c>
      <c r="C340" t="s">
        <v>143</v>
      </c>
      <c r="D340" t="s">
        <v>101</v>
      </c>
      <c r="E340" t="s">
        <v>36</v>
      </c>
      <c r="F340" t="s">
        <v>90</v>
      </c>
      <c r="G340" t="s">
        <v>18</v>
      </c>
      <c r="H340">
        <v>1</v>
      </c>
      <c r="I340">
        <v>31681</v>
      </c>
      <c r="J340">
        <v>15</v>
      </c>
      <c r="K340" t="s">
        <v>27</v>
      </c>
      <c r="L340" t="s">
        <v>20</v>
      </c>
      <c r="M340">
        <v>5</v>
      </c>
    </row>
    <row r="341" spans="1:13" x14ac:dyDescent="0.3">
      <c r="A341" t="s">
        <v>574</v>
      </c>
      <c r="B341" s="2">
        <v>46084</v>
      </c>
      <c r="C341" t="s">
        <v>52</v>
      </c>
      <c r="D341" t="s">
        <v>53</v>
      </c>
      <c r="E341" t="s">
        <v>81</v>
      </c>
      <c r="F341" t="s">
        <v>54</v>
      </c>
      <c r="G341" t="s">
        <v>55</v>
      </c>
      <c r="H341">
        <v>1</v>
      </c>
      <c r="I341">
        <v>3400</v>
      </c>
      <c r="J341">
        <v>10</v>
      </c>
      <c r="K341" t="s">
        <v>56</v>
      </c>
      <c r="L341" t="s">
        <v>20</v>
      </c>
      <c r="M341">
        <v>6</v>
      </c>
    </row>
    <row r="342" spans="1:13" x14ac:dyDescent="0.3">
      <c r="A342" t="s">
        <v>575</v>
      </c>
      <c r="B342" s="2">
        <v>46044</v>
      </c>
      <c r="C342" t="s">
        <v>167</v>
      </c>
      <c r="D342" t="s">
        <v>161</v>
      </c>
      <c r="E342" t="s">
        <v>36</v>
      </c>
      <c r="F342" t="s">
        <v>88</v>
      </c>
      <c r="G342" t="s">
        <v>26</v>
      </c>
      <c r="H342">
        <v>4</v>
      </c>
      <c r="I342">
        <v>1372</v>
      </c>
      <c r="J342">
        <v>15</v>
      </c>
      <c r="K342" t="s">
        <v>56</v>
      </c>
      <c r="L342" t="s">
        <v>20</v>
      </c>
      <c r="M342">
        <v>1</v>
      </c>
    </row>
    <row r="343" spans="1:13" x14ac:dyDescent="0.3">
      <c r="A343" t="s">
        <v>576</v>
      </c>
      <c r="B343" s="2">
        <v>46050</v>
      </c>
      <c r="C343" t="s">
        <v>228</v>
      </c>
      <c r="D343" t="s">
        <v>15</v>
      </c>
      <c r="E343" t="s">
        <v>36</v>
      </c>
      <c r="F343" t="s">
        <v>131</v>
      </c>
      <c r="G343" t="s">
        <v>55</v>
      </c>
      <c r="H343">
        <v>3</v>
      </c>
      <c r="I343">
        <v>2500</v>
      </c>
      <c r="J343">
        <v>15</v>
      </c>
      <c r="K343" t="s">
        <v>27</v>
      </c>
      <c r="L343" t="s">
        <v>20</v>
      </c>
      <c r="M343">
        <v>4</v>
      </c>
    </row>
    <row r="344" spans="1:13" x14ac:dyDescent="0.3">
      <c r="A344" t="s">
        <v>577</v>
      </c>
      <c r="B344" s="2">
        <v>46179</v>
      </c>
      <c r="C344" t="s">
        <v>578</v>
      </c>
      <c r="D344" t="s">
        <v>184</v>
      </c>
      <c r="E344" t="s">
        <v>40</v>
      </c>
      <c r="F344" t="s">
        <v>82</v>
      </c>
      <c r="G344" t="s">
        <v>50</v>
      </c>
      <c r="H344">
        <v>2</v>
      </c>
      <c r="I344">
        <v>373</v>
      </c>
      <c r="J344">
        <v>15</v>
      </c>
      <c r="K344" t="s">
        <v>56</v>
      </c>
      <c r="L344" t="s">
        <v>139</v>
      </c>
      <c r="M344">
        <v>5</v>
      </c>
    </row>
    <row r="345" spans="1:13" x14ac:dyDescent="0.3">
      <c r="A345" t="s">
        <v>579</v>
      </c>
      <c r="B345" s="2">
        <v>46042</v>
      </c>
      <c r="C345" t="s">
        <v>179</v>
      </c>
      <c r="D345" t="s">
        <v>23</v>
      </c>
      <c r="E345" t="s">
        <v>65</v>
      </c>
      <c r="F345" t="s">
        <v>85</v>
      </c>
      <c r="G345" t="s">
        <v>45</v>
      </c>
      <c r="H345">
        <v>1</v>
      </c>
      <c r="I345">
        <v>600</v>
      </c>
      <c r="J345">
        <v>10</v>
      </c>
      <c r="K345" t="s">
        <v>27</v>
      </c>
      <c r="L345" t="s">
        <v>20</v>
      </c>
      <c r="M345">
        <v>2</v>
      </c>
    </row>
    <row r="346" spans="1:13" x14ac:dyDescent="0.3">
      <c r="A346" t="s">
        <v>580</v>
      </c>
      <c r="B346" s="2">
        <v>46180</v>
      </c>
      <c r="C346" t="s">
        <v>376</v>
      </c>
      <c r="D346" t="s">
        <v>43</v>
      </c>
      <c r="E346" t="s">
        <v>31</v>
      </c>
      <c r="F346" t="s">
        <v>62</v>
      </c>
      <c r="G346" t="s">
        <v>50</v>
      </c>
      <c r="H346">
        <v>1</v>
      </c>
      <c r="I346">
        <v>1833</v>
      </c>
      <c r="J346">
        <v>15</v>
      </c>
      <c r="K346" t="s">
        <v>27</v>
      </c>
      <c r="L346" t="s">
        <v>20</v>
      </c>
      <c r="M346">
        <v>3</v>
      </c>
    </row>
    <row r="347" spans="1:13" x14ac:dyDescent="0.3">
      <c r="A347" t="s">
        <v>581</v>
      </c>
      <c r="B347" s="2">
        <v>46121</v>
      </c>
      <c r="C347" t="s">
        <v>582</v>
      </c>
      <c r="D347" t="s">
        <v>75</v>
      </c>
      <c r="E347" t="s">
        <v>24</v>
      </c>
      <c r="F347" t="s">
        <v>131</v>
      </c>
      <c r="G347" t="s">
        <v>55</v>
      </c>
      <c r="H347">
        <v>1</v>
      </c>
      <c r="I347">
        <v>1400</v>
      </c>
      <c r="J347">
        <v>0</v>
      </c>
      <c r="K347" t="s">
        <v>27</v>
      </c>
      <c r="L347" t="s">
        <v>20</v>
      </c>
      <c r="M347">
        <v>3</v>
      </c>
    </row>
    <row r="348" spans="1:13" x14ac:dyDescent="0.3">
      <c r="A348" t="s">
        <v>583</v>
      </c>
      <c r="B348" s="2">
        <v>46042</v>
      </c>
      <c r="C348" t="s">
        <v>179</v>
      </c>
      <c r="D348" t="s">
        <v>23</v>
      </c>
      <c r="E348" t="s">
        <v>117</v>
      </c>
      <c r="F348" t="s">
        <v>85</v>
      </c>
      <c r="G348" t="s">
        <v>45</v>
      </c>
      <c r="H348">
        <v>1</v>
      </c>
      <c r="I348">
        <v>800</v>
      </c>
      <c r="J348">
        <v>10</v>
      </c>
      <c r="K348" t="s">
        <v>27</v>
      </c>
      <c r="L348" t="s">
        <v>20</v>
      </c>
      <c r="M348">
        <v>2</v>
      </c>
    </row>
    <row r="349" spans="1:13" x14ac:dyDescent="0.3">
      <c r="A349" t="s">
        <v>584</v>
      </c>
      <c r="B349" s="2">
        <v>46034</v>
      </c>
      <c r="C349" t="s">
        <v>425</v>
      </c>
      <c r="D349" t="s">
        <v>43</v>
      </c>
      <c r="E349" t="s">
        <v>40</v>
      </c>
      <c r="F349" t="s">
        <v>44</v>
      </c>
      <c r="G349" t="s">
        <v>45</v>
      </c>
      <c r="H349">
        <v>3</v>
      </c>
      <c r="I349">
        <v>1100</v>
      </c>
      <c r="J349">
        <v>10</v>
      </c>
      <c r="K349" t="s">
        <v>91</v>
      </c>
      <c r="L349" t="s">
        <v>20</v>
      </c>
      <c r="M349">
        <v>3</v>
      </c>
    </row>
    <row r="350" spans="1:13" x14ac:dyDescent="0.3">
      <c r="A350" t="s">
        <v>585</v>
      </c>
      <c r="B350" s="2">
        <v>46097</v>
      </c>
      <c r="C350" t="s">
        <v>283</v>
      </c>
      <c r="D350" t="s">
        <v>35</v>
      </c>
      <c r="E350" t="s">
        <v>36</v>
      </c>
      <c r="F350" t="s">
        <v>49</v>
      </c>
      <c r="G350" t="s">
        <v>50</v>
      </c>
      <c r="H350">
        <v>2</v>
      </c>
      <c r="I350">
        <v>2198</v>
      </c>
      <c r="J350">
        <v>10</v>
      </c>
      <c r="K350" t="s">
        <v>19</v>
      </c>
      <c r="L350" t="s">
        <v>20</v>
      </c>
      <c r="M350">
        <v>3</v>
      </c>
    </row>
    <row r="351" spans="1:13" x14ac:dyDescent="0.3">
      <c r="A351" t="s">
        <v>586</v>
      </c>
      <c r="B351" s="2">
        <v>46093</v>
      </c>
      <c r="C351" t="s">
        <v>302</v>
      </c>
      <c r="D351" t="s">
        <v>231</v>
      </c>
      <c r="E351" t="s">
        <v>117</v>
      </c>
      <c r="F351" t="s">
        <v>32</v>
      </c>
      <c r="G351" t="s">
        <v>18</v>
      </c>
      <c r="H351">
        <v>1</v>
      </c>
      <c r="I351">
        <v>38853</v>
      </c>
      <c r="J351">
        <v>10</v>
      </c>
      <c r="K351" t="s">
        <v>56</v>
      </c>
      <c r="L351" t="s">
        <v>20</v>
      </c>
      <c r="M351">
        <v>6</v>
      </c>
    </row>
    <row r="352" spans="1:13" x14ac:dyDescent="0.3">
      <c r="A352" t="s">
        <v>587</v>
      </c>
      <c r="B352" s="2">
        <v>46062</v>
      </c>
      <c r="C352" t="s">
        <v>508</v>
      </c>
      <c r="D352" t="s">
        <v>39</v>
      </c>
      <c r="E352" t="s">
        <v>16</v>
      </c>
      <c r="F352" t="s">
        <v>85</v>
      </c>
      <c r="G352" t="s">
        <v>45</v>
      </c>
      <c r="H352">
        <v>3</v>
      </c>
      <c r="I352">
        <v>1300</v>
      </c>
      <c r="J352">
        <v>20</v>
      </c>
      <c r="K352" t="s">
        <v>27</v>
      </c>
      <c r="L352" t="s">
        <v>20</v>
      </c>
      <c r="M352">
        <v>3</v>
      </c>
    </row>
    <row r="353" spans="1:13" x14ac:dyDescent="0.3">
      <c r="A353" t="s">
        <v>588</v>
      </c>
      <c r="B353" s="2">
        <v>46058</v>
      </c>
      <c r="C353" t="s">
        <v>129</v>
      </c>
      <c r="D353" t="s">
        <v>35</v>
      </c>
      <c r="E353" t="s">
        <v>36</v>
      </c>
      <c r="F353" t="s">
        <v>88</v>
      </c>
      <c r="G353" t="s">
        <v>26</v>
      </c>
      <c r="H353">
        <v>1</v>
      </c>
      <c r="I353">
        <v>607</v>
      </c>
      <c r="J353">
        <v>15</v>
      </c>
      <c r="K353" t="s">
        <v>19</v>
      </c>
      <c r="L353" t="s">
        <v>20</v>
      </c>
      <c r="M353">
        <v>3</v>
      </c>
    </row>
    <row r="354" spans="1:13" x14ac:dyDescent="0.3">
      <c r="A354" t="s">
        <v>589</v>
      </c>
      <c r="B354" s="2">
        <v>46196</v>
      </c>
      <c r="C354" t="s">
        <v>320</v>
      </c>
      <c r="D354" t="s">
        <v>75</v>
      </c>
      <c r="E354" t="s">
        <v>117</v>
      </c>
      <c r="F354" t="s">
        <v>17</v>
      </c>
      <c r="G354" t="s">
        <v>18</v>
      </c>
      <c r="H354">
        <v>3</v>
      </c>
      <c r="I354">
        <v>47818</v>
      </c>
      <c r="J354">
        <v>0</v>
      </c>
      <c r="K354" t="s">
        <v>56</v>
      </c>
      <c r="L354" t="s">
        <v>20</v>
      </c>
      <c r="M354">
        <v>4</v>
      </c>
    </row>
    <row r="355" spans="1:13" x14ac:dyDescent="0.3">
      <c r="A355" t="s">
        <v>590</v>
      </c>
      <c r="B355" s="2">
        <v>46185</v>
      </c>
      <c r="C355" t="s">
        <v>169</v>
      </c>
      <c r="D355" t="s">
        <v>75</v>
      </c>
      <c r="E355" t="s">
        <v>36</v>
      </c>
      <c r="F355" t="s">
        <v>156</v>
      </c>
      <c r="G355" t="s">
        <v>18</v>
      </c>
      <c r="H355">
        <v>1</v>
      </c>
      <c r="I355">
        <v>26302</v>
      </c>
      <c r="J355">
        <v>10</v>
      </c>
      <c r="K355" t="s">
        <v>91</v>
      </c>
      <c r="L355" t="s">
        <v>20</v>
      </c>
      <c r="M355">
        <v>3</v>
      </c>
    </row>
    <row r="356" spans="1:13" x14ac:dyDescent="0.3">
      <c r="A356" t="s">
        <v>591</v>
      </c>
      <c r="B356" s="2">
        <v>46141</v>
      </c>
      <c r="C356" t="s">
        <v>153</v>
      </c>
      <c r="D356" t="s">
        <v>80</v>
      </c>
      <c r="E356" t="s">
        <v>31</v>
      </c>
      <c r="F356" t="s">
        <v>82</v>
      </c>
      <c r="G356" t="s">
        <v>50</v>
      </c>
      <c r="H356">
        <v>1</v>
      </c>
      <c r="I356">
        <v>2417</v>
      </c>
      <c r="J356">
        <v>10</v>
      </c>
      <c r="K356" t="s">
        <v>56</v>
      </c>
      <c r="L356" t="s">
        <v>20</v>
      </c>
      <c r="M356">
        <v>2</v>
      </c>
    </row>
    <row r="357" spans="1:13" x14ac:dyDescent="0.3">
      <c r="A357" t="s">
        <v>592</v>
      </c>
      <c r="B357" s="2">
        <v>46056</v>
      </c>
      <c r="C357" t="s">
        <v>566</v>
      </c>
      <c r="D357" t="s">
        <v>61</v>
      </c>
      <c r="E357" t="s">
        <v>40</v>
      </c>
      <c r="F357" t="s">
        <v>90</v>
      </c>
      <c r="G357" t="s">
        <v>18</v>
      </c>
      <c r="H357">
        <v>1</v>
      </c>
      <c r="I357">
        <v>35267</v>
      </c>
      <c r="J357">
        <v>10</v>
      </c>
      <c r="K357" t="s">
        <v>91</v>
      </c>
      <c r="L357" t="s">
        <v>20</v>
      </c>
      <c r="M357">
        <v>3</v>
      </c>
    </row>
    <row r="358" spans="1:13" x14ac:dyDescent="0.3">
      <c r="A358" t="s">
        <v>593</v>
      </c>
      <c r="B358" s="2">
        <v>46115</v>
      </c>
      <c r="C358" t="s">
        <v>104</v>
      </c>
      <c r="D358" t="s">
        <v>35</v>
      </c>
      <c r="E358" t="s">
        <v>31</v>
      </c>
      <c r="F358" t="s">
        <v>32</v>
      </c>
      <c r="G358" t="s">
        <v>18</v>
      </c>
      <c r="H358">
        <v>1</v>
      </c>
      <c r="I358">
        <v>29888</v>
      </c>
      <c r="J358">
        <v>5</v>
      </c>
      <c r="K358" t="s">
        <v>91</v>
      </c>
      <c r="L358" t="s">
        <v>20</v>
      </c>
      <c r="M358">
        <v>3</v>
      </c>
    </row>
    <row r="359" spans="1:13" x14ac:dyDescent="0.3">
      <c r="A359" t="s">
        <v>594</v>
      </c>
      <c r="B359" s="2">
        <v>46104</v>
      </c>
      <c r="C359" t="s">
        <v>370</v>
      </c>
      <c r="D359" t="s">
        <v>231</v>
      </c>
      <c r="E359" t="s">
        <v>31</v>
      </c>
      <c r="F359" t="s">
        <v>44</v>
      </c>
      <c r="G359" t="s">
        <v>45</v>
      </c>
      <c r="H359">
        <v>2</v>
      </c>
      <c r="I359">
        <v>1250</v>
      </c>
      <c r="J359">
        <v>10</v>
      </c>
      <c r="K359" t="s">
        <v>19</v>
      </c>
      <c r="L359" t="s">
        <v>20</v>
      </c>
      <c r="M359">
        <v>1</v>
      </c>
    </row>
    <row r="360" spans="1:13" x14ac:dyDescent="0.3">
      <c r="A360" t="s">
        <v>595</v>
      </c>
      <c r="B360" s="2">
        <v>46121</v>
      </c>
      <c r="C360" t="s">
        <v>510</v>
      </c>
      <c r="D360" t="s">
        <v>23</v>
      </c>
      <c r="E360" t="s">
        <v>36</v>
      </c>
      <c r="F360" t="s">
        <v>156</v>
      </c>
      <c r="G360" t="s">
        <v>18</v>
      </c>
      <c r="H360">
        <v>1</v>
      </c>
      <c r="I360">
        <v>1200</v>
      </c>
      <c r="J360">
        <v>5</v>
      </c>
      <c r="K360" t="s">
        <v>56</v>
      </c>
      <c r="L360" t="s">
        <v>20</v>
      </c>
      <c r="M360">
        <v>5</v>
      </c>
    </row>
    <row r="361" spans="1:13" x14ac:dyDescent="0.3">
      <c r="A361" t="s">
        <v>596</v>
      </c>
      <c r="B361" s="2">
        <v>46044</v>
      </c>
      <c r="C361" t="s">
        <v>464</v>
      </c>
      <c r="D361" t="s">
        <v>149</v>
      </c>
      <c r="E361" t="s">
        <v>81</v>
      </c>
      <c r="F361" t="s">
        <v>62</v>
      </c>
      <c r="G361" t="s">
        <v>50</v>
      </c>
      <c r="H361">
        <v>2</v>
      </c>
      <c r="I361">
        <v>1103</v>
      </c>
      <c r="J361">
        <v>20</v>
      </c>
      <c r="K361" t="s">
        <v>19</v>
      </c>
      <c r="L361" t="s">
        <v>20</v>
      </c>
      <c r="M361">
        <v>3</v>
      </c>
    </row>
    <row r="362" spans="1:13" x14ac:dyDescent="0.3">
      <c r="A362" t="s">
        <v>597</v>
      </c>
      <c r="B362" s="2">
        <v>46099</v>
      </c>
      <c r="C362" t="s">
        <v>187</v>
      </c>
      <c r="D362" t="s">
        <v>98</v>
      </c>
      <c r="E362" t="s">
        <v>81</v>
      </c>
      <c r="F362" t="s">
        <v>190</v>
      </c>
      <c r="G362" t="s">
        <v>55</v>
      </c>
      <c r="H362">
        <v>2</v>
      </c>
      <c r="I362">
        <v>1000</v>
      </c>
      <c r="J362">
        <v>5</v>
      </c>
      <c r="K362" t="s">
        <v>56</v>
      </c>
      <c r="L362" t="s">
        <v>20</v>
      </c>
      <c r="M362">
        <v>6</v>
      </c>
    </row>
    <row r="363" spans="1:13" x14ac:dyDescent="0.3">
      <c r="A363" t="s">
        <v>598</v>
      </c>
      <c r="B363" s="2">
        <v>46111</v>
      </c>
      <c r="C363" t="s">
        <v>187</v>
      </c>
      <c r="D363" t="s">
        <v>98</v>
      </c>
      <c r="E363" t="s">
        <v>40</v>
      </c>
      <c r="F363" t="s">
        <v>95</v>
      </c>
      <c r="G363" t="s">
        <v>45</v>
      </c>
      <c r="H363">
        <v>2</v>
      </c>
      <c r="I363">
        <v>950</v>
      </c>
      <c r="J363">
        <v>10</v>
      </c>
      <c r="K363" t="s">
        <v>56</v>
      </c>
      <c r="L363" t="s">
        <v>20</v>
      </c>
      <c r="M363">
        <v>1</v>
      </c>
    </row>
    <row r="364" spans="1:13" x14ac:dyDescent="0.3">
      <c r="A364" t="s">
        <v>599</v>
      </c>
      <c r="B364" s="2">
        <v>46094</v>
      </c>
      <c r="C364" t="s">
        <v>14</v>
      </c>
      <c r="D364" t="s">
        <v>15</v>
      </c>
      <c r="E364" t="s">
        <v>31</v>
      </c>
      <c r="F364" t="s">
        <v>141</v>
      </c>
      <c r="G364" t="s">
        <v>50</v>
      </c>
      <c r="H364">
        <v>1</v>
      </c>
      <c r="I364">
        <v>1760</v>
      </c>
      <c r="J364">
        <v>5</v>
      </c>
      <c r="K364" t="s">
        <v>19</v>
      </c>
      <c r="L364" t="s">
        <v>20</v>
      </c>
      <c r="M364">
        <v>5</v>
      </c>
    </row>
    <row r="365" spans="1:13" x14ac:dyDescent="0.3">
      <c r="A365" t="s">
        <v>600</v>
      </c>
      <c r="B365" s="2">
        <v>46118</v>
      </c>
      <c r="C365" t="s">
        <v>432</v>
      </c>
      <c r="D365" t="s">
        <v>23</v>
      </c>
      <c r="E365" t="s">
        <v>65</v>
      </c>
      <c r="F365" t="s">
        <v>72</v>
      </c>
      <c r="G365" t="s">
        <v>45</v>
      </c>
      <c r="H365">
        <v>1</v>
      </c>
      <c r="I365">
        <v>400</v>
      </c>
      <c r="J365">
        <v>15</v>
      </c>
      <c r="K365" t="s">
        <v>19</v>
      </c>
      <c r="L365" t="s">
        <v>20</v>
      </c>
      <c r="M365">
        <v>3</v>
      </c>
    </row>
    <row r="366" spans="1:13" x14ac:dyDescent="0.3">
      <c r="A366" t="s">
        <v>601</v>
      </c>
      <c r="B366" s="2">
        <v>46074</v>
      </c>
      <c r="C366" t="s">
        <v>273</v>
      </c>
      <c r="D366" t="s">
        <v>15</v>
      </c>
      <c r="E366" t="s">
        <v>81</v>
      </c>
      <c r="F366" t="s">
        <v>17</v>
      </c>
      <c r="G366" t="s">
        <v>18</v>
      </c>
      <c r="H366">
        <v>1</v>
      </c>
      <c r="I366">
        <v>46025</v>
      </c>
      <c r="J366">
        <v>10</v>
      </c>
      <c r="K366" t="s">
        <v>56</v>
      </c>
      <c r="L366" t="s">
        <v>20</v>
      </c>
      <c r="M366">
        <v>4</v>
      </c>
    </row>
    <row r="367" spans="1:13" x14ac:dyDescent="0.3">
      <c r="A367" t="s">
        <v>602</v>
      </c>
      <c r="B367" s="2">
        <v>46136</v>
      </c>
      <c r="C367" t="s">
        <v>192</v>
      </c>
      <c r="D367" t="s">
        <v>98</v>
      </c>
      <c r="E367" t="s">
        <v>36</v>
      </c>
      <c r="F367" t="s">
        <v>127</v>
      </c>
      <c r="G367" t="s">
        <v>55</v>
      </c>
      <c r="H367">
        <v>1</v>
      </c>
      <c r="I367">
        <v>2600</v>
      </c>
      <c r="J367">
        <v>10</v>
      </c>
      <c r="K367" t="s">
        <v>19</v>
      </c>
      <c r="L367" t="s">
        <v>20</v>
      </c>
      <c r="M367">
        <v>5</v>
      </c>
    </row>
    <row r="368" spans="1:13" x14ac:dyDescent="0.3">
      <c r="A368" t="s">
        <v>603</v>
      </c>
      <c r="B368" s="2">
        <v>46133</v>
      </c>
      <c r="C368" t="s">
        <v>121</v>
      </c>
      <c r="D368" t="s">
        <v>109</v>
      </c>
      <c r="E368" t="s">
        <v>65</v>
      </c>
      <c r="F368" t="s">
        <v>127</v>
      </c>
      <c r="G368" t="s">
        <v>55</v>
      </c>
      <c r="H368">
        <v>2</v>
      </c>
      <c r="I368">
        <v>3200</v>
      </c>
      <c r="J368">
        <v>0</v>
      </c>
      <c r="K368" t="s">
        <v>27</v>
      </c>
      <c r="L368" t="s">
        <v>20</v>
      </c>
      <c r="M368">
        <v>5</v>
      </c>
    </row>
    <row r="369" spans="1:13" x14ac:dyDescent="0.3">
      <c r="A369" t="s">
        <v>604</v>
      </c>
      <c r="B369" s="2">
        <v>46052</v>
      </c>
      <c r="C369" t="s">
        <v>345</v>
      </c>
      <c r="D369" t="s">
        <v>61</v>
      </c>
      <c r="E369" t="s">
        <v>24</v>
      </c>
      <c r="F369" t="s">
        <v>113</v>
      </c>
      <c r="G369" t="s">
        <v>26</v>
      </c>
      <c r="H369">
        <v>2</v>
      </c>
      <c r="I369">
        <v>913</v>
      </c>
      <c r="J369">
        <v>0</v>
      </c>
      <c r="K369" t="s">
        <v>19</v>
      </c>
      <c r="L369" t="s">
        <v>20</v>
      </c>
      <c r="M369">
        <v>3</v>
      </c>
    </row>
    <row r="370" spans="1:13" x14ac:dyDescent="0.3">
      <c r="A370" t="s">
        <v>605</v>
      </c>
      <c r="B370" s="2">
        <v>46165</v>
      </c>
      <c r="C370" t="s">
        <v>189</v>
      </c>
      <c r="D370" t="s">
        <v>30</v>
      </c>
      <c r="E370" t="s">
        <v>65</v>
      </c>
      <c r="F370" t="s">
        <v>135</v>
      </c>
      <c r="G370" t="s">
        <v>50</v>
      </c>
      <c r="H370">
        <v>1</v>
      </c>
      <c r="I370">
        <v>1906</v>
      </c>
      <c r="J370">
        <v>5</v>
      </c>
      <c r="K370" t="s">
        <v>56</v>
      </c>
      <c r="L370" t="s">
        <v>46</v>
      </c>
      <c r="M370">
        <v>0</v>
      </c>
    </row>
    <row r="371" spans="1:13" x14ac:dyDescent="0.3">
      <c r="A371" t="s">
        <v>606</v>
      </c>
      <c r="B371" s="2">
        <v>46023</v>
      </c>
      <c r="C371" t="s">
        <v>207</v>
      </c>
      <c r="D371" t="s">
        <v>53</v>
      </c>
      <c r="E371" t="s">
        <v>16</v>
      </c>
      <c r="F371" t="s">
        <v>68</v>
      </c>
      <c r="G371" t="s">
        <v>26</v>
      </c>
      <c r="H371">
        <v>1</v>
      </c>
      <c r="I371">
        <v>964</v>
      </c>
      <c r="J371">
        <v>15</v>
      </c>
      <c r="K371" t="s">
        <v>56</v>
      </c>
      <c r="L371" t="s">
        <v>20</v>
      </c>
      <c r="M371">
        <v>1</v>
      </c>
    </row>
    <row r="372" spans="1:13" x14ac:dyDescent="0.3">
      <c r="A372" t="s">
        <v>607</v>
      </c>
      <c r="B372" s="2">
        <v>46034</v>
      </c>
      <c r="C372" t="s">
        <v>181</v>
      </c>
      <c r="D372" t="s">
        <v>61</v>
      </c>
      <c r="E372" t="s">
        <v>31</v>
      </c>
      <c r="F372" t="s">
        <v>383</v>
      </c>
      <c r="G372" t="s">
        <v>26</v>
      </c>
      <c r="H372">
        <v>1</v>
      </c>
      <c r="I372">
        <v>760</v>
      </c>
      <c r="J372">
        <v>10</v>
      </c>
      <c r="K372" t="s">
        <v>19</v>
      </c>
      <c r="L372" t="s">
        <v>20</v>
      </c>
      <c r="M372">
        <v>3</v>
      </c>
    </row>
    <row r="373" spans="1:13" x14ac:dyDescent="0.3">
      <c r="A373" t="s">
        <v>608</v>
      </c>
      <c r="B373" s="2">
        <v>46156</v>
      </c>
      <c r="C373" t="s">
        <v>22</v>
      </c>
      <c r="D373" t="s">
        <v>23</v>
      </c>
      <c r="E373" t="s">
        <v>31</v>
      </c>
      <c r="F373" t="s">
        <v>131</v>
      </c>
      <c r="G373" t="s">
        <v>55</v>
      </c>
      <c r="H373">
        <v>1</v>
      </c>
      <c r="I373">
        <v>2300</v>
      </c>
      <c r="J373">
        <v>15</v>
      </c>
      <c r="K373" t="s">
        <v>19</v>
      </c>
      <c r="L373" t="s">
        <v>20</v>
      </c>
      <c r="M373">
        <v>5</v>
      </c>
    </row>
    <row r="374" spans="1:13" x14ac:dyDescent="0.3">
      <c r="A374" t="s">
        <v>609</v>
      </c>
      <c r="B374" s="2">
        <v>46171</v>
      </c>
      <c r="C374" t="s">
        <v>446</v>
      </c>
      <c r="D374" t="s">
        <v>71</v>
      </c>
      <c r="E374" t="s">
        <v>24</v>
      </c>
      <c r="F374" t="s">
        <v>62</v>
      </c>
      <c r="G374" t="s">
        <v>50</v>
      </c>
      <c r="H374">
        <v>1</v>
      </c>
      <c r="I374">
        <v>738</v>
      </c>
      <c r="J374">
        <v>10</v>
      </c>
      <c r="K374" t="s">
        <v>27</v>
      </c>
      <c r="L374" t="s">
        <v>20</v>
      </c>
      <c r="M374">
        <v>4</v>
      </c>
    </row>
    <row r="375" spans="1:13" x14ac:dyDescent="0.3">
      <c r="A375" t="s">
        <v>610</v>
      </c>
      <c r="B375" s="2">
        <v>46065</v>
      </c>
      <c r="C375" t="s">
        <v>97</v>
      </c>
      <c r="D375" t="s">
        <v>98</v>
      </c>
      <c r="E375" t="s">
        <v>31</v>
      </c>
      <c r="F375" t="s">
        <v>124</v>
      </c>
      <c r="G375" t="s">
        <v>55</v>
      </c>
      <c r="H375">
        <v>2</v>
      </c>
      <c r="I375">
        <v>2100</v>
      </c>
      <c r="J375">
        <v>10</v>
      </c>
      <c r="K375" t="s">
        <v>91</v>
      </c>
      <c r="L375" t="s">
        <v>20</v>
      </c>
      <c r="M375">
        <v>5</v>
      </c>
    </row>
    <row r="376" spans="1:13" x14ac:dyDescent="0.3">
      <c r="A376" t="s">
        <v>611</v>
      </c>
      <c r="B376" s="2">
        <v>46126</v>
      </c>
      <c r="C376" t="s">
        <v>316</v>
      </c>
      <c r="D376" t="s">
        <v>94</v>
      </c>
      <c r="E376" t="s">
        <v>31</v>
      </c>
      <c r="F376" t="s">
        <v>25</v>
      </c>
      <c r="G376" t="s">
        <v>26</v>
      </c>
      <c r="H376">
        <v>4</v>
      </c>
      <c r="I376">
        <v>1117</v>
      </c>
      <c r="J376">
        <v>10</v>
      </c>
      <c r="K376" t="s">
        <v>91</v>
      </c>
      <c r="L376" t="s">
        <v>46</v>
      </c>
      <c r="M376">
        <v>0</v>
      </c>
    </row>
    <row r="377" spans="1:13" x14ac:dyDescent="0.3">
      <c r="A377" t="s">
        <v>612</v>
      </c>
      <c r="B377" s="2">
        <v>46154</v>
      </c>
      <c r="C377" t="s">
        <v>320</v>
      </c>
      <c r="D377" t="s">
        <v>75</v>
      </c>
      <c r="E377" t="s">
        <v>36</v>
      </c>
      <c r="F377" t="s">
        <v>32</v>
      </c>
      <c r="G377" t="s">
        <v>18</v>
      </c>
      <c r="H377">
        <v>1</v>
      </c>
      <c r="I377">
        <v>54990</v>
      </c>
      <c r="J377">
        <v>25</v>
      </c>
      <c r="K377" t="s">
        <v>27</v>
      </c>
      <c r="L377" t="s">
        <v>20</v>
      </c>
      <c r="M377">
        <v>3</v>
      </c>
    </row>
    <row r="378" spans="1:13" x14ac:dyDescent="0.3">
      <c r="A378" t="s">
        <v>613</v>
      </c>
      <c r="B378" s="2">
        <v>46048</v>
      </c>
      <c r="C378" t="s">
        <v>473</v>
      </c>
      <c r="D378" t="s">
        <v>116</v>
      </c>
      <c r="E378" t="s">
        <v>117</v>
      </c>
      <c r="F378" t="s">
        <v>54</v>
      </c>
      <c r="G378" t="s">
        <v>55</v>
      </c>
      <c r="H378">
        <v>1</v>
      </c>
      <c r="I378">
        <v>700</v>
      </c>
      <c r="J378">
        <v>0</v>
      </c>
      <c r="K378" t="s">
        <v>91</v>
      </c>
      <c r="L378" t="s">
        <v>20</v>
      </c>
      <c r="M378">
        <v>2</v>
      </c>
    </row>
    <row r="379" spans="1:13" x14ac:dyDescent="0.3">
      <c r="A379" t="s">
        <v>614</v>
      </c>
      <c r="B379" s="2">
        <v>46127</v>
      </c>
      <c r="C379" t="s">
        <v>48</v>
      </c>
      <c r="D379" t="s">
        <v>23</v>
      </c>
      <c r="E379" t="s">
        <v>81</v>
      </c>
      <c r="F379" t="s">
        <v>124</v>
      </c>
      <c r="G379" t="s">
        <v>55</v>
      </c>
      <c r="H379">
        <v>3</v>
      </c>
      <c r="I379">
        <v>2700</v>
      </c>
      <c r="J379">
        <v>20</v>
      </c>
      <c r="K379" t="s">
        <v>56</v>
      </c>
      <c r="L379" t="s">
        <v>20</v>
      </c>
      <c r="M379">
        <v>3</v>
      </c>
    </row>
    <row r="380" spans="1:13" x14ac:dyDescent="0.3">
      <c r="A380" t="s">
        <v>615</v>
      </c>
      <c r="B380" s="2">
        <v>46088</v>
      </c>
      <c r="C380" t="s">
        <v>79</v>
      </c>
      <c r="D380" t="s">
        <v>80</v>
      </c>
      <c r="E380" t="s">
        <v>36</v>
      </c>
      <c r="F380" t="s">
        <v>127</v>
      </c>
      <c r="G380" t="s">
        <v>55</v>
      </c>
      <c r="H380">
        <v>2</v>
      </c>
      <c r="I380">
        <v>2400</v>
      </c>
      <c r="J380">
        <v>0</v>
      </c>
      <c r="K380" t="s">
        <v>56</v>
      </c>
      <c r="L380" t="s">
        <v>20</v>
      </c>
      <c r="M380">
        <v>6</v>
      </c>
    </row>
    <row r="381" spans="1:13" x14ac:dyDescent="0.3">
      <c r="A381" t="s">
        <v>616</v>
      </c>
      <c r="B381" s="2">
        <v>46165</v>
      </c>
      <c r="C381" t="s">
        <v>348</v>
      </c>
      <c r="D381" t="s">
        <v>35</v>
      </c>
      <c r="E381" t="s">
        <v>24</v>
      </c>
      <c r="F381" t="s">
        <v>156</v>
      </c>
      <c r="G381" t="s">
        <v>18</v>
      </c>
      <c r="H381">
        <v>1</v>
      </c>
      <c r="I381">
        <v>37060</v>
      </c>
      <c r="J381">
        <v>5</v>
      </c>
      <c r="K381" t="s">
        <v>19</v>
      </c>
      <c r="L381" t="s">
        <v>20</v>
      </c>
      <c r="M381">
        <v>2</v>
      </c>
    </row>
    <row r="382" spans="1:13" x14ac:dyDescent="0.3">
      <c r="A382" t="s">
        <v>617</v>
      </c>
      <c r="B382" s="2">
        <v>46173</v>
      </c>
      <c r="C382" t="s">
        <v>148</v>
      </c>
      <c r="D382" t="s">
        <v>149</v>
      </c>
      <c r="E382" t="s">
        <v>81</v>
      </c>
      <c r="F382" t="s">
        <v>124</v>
      </c>
      <c r="G382" t="s">
        <v>55</v>
      </c>
      <c r="H382">
        <v>3</v>
      </c>
      <c r="I382">
        <v>2900</v>
      </c>
      <c r="J382">
        <v>0</v>
      </c>
      <c r="K382" t="s">
        <v>19</v>
      </c>
      <c r="L382" t="s">
        <v>20</v>
      </c>
      <c r="M382">
        <v>5</v>
      </c>
    </row>
    <row r="383" spans="1:13" x14ac:dyDescent="0.3">
      <c r="A383" t="s">
        <v>618</v>
      </c>
      <c r="B383" s="2">
        <v>46203</v>
      </c>
      <c r="C383" t="s">
        <v>332</v>
      </c>
      <c r="D383" t="s">
        <v>101</v>
      </c>
      <c r="E383" t="s">
        <v>40</v>
      </c>
      <c r="F383" t="s">
        <v>17</v>
      </c>
      <c r="G383" t="s">
        <v>18</v>
      </c>
      <c r="H383">
        <v>1</v>
      </c>
      <c r="I383">
        <v>10165</v>
      </c>
      <c r="J383">
        <v>0</v>
      </c>
      <c r="K383" t="s">
        <v>27</v>
      </c>
      <c r="L383" t="s">
        <v>20</v>
      </c>
      <c r="M383">
        <v>4</v>
      </c>
    </row>
    <row r="384" spans="1:13" x14ac:dyDescent="0.3">
      <c r="A384" t="s">
        <v>619</v>
      </c>
      <c r="B384" s="2">
        <v>46098</v>
      </c>
      <c r="C384" t="s">
        <v>620</v>
      </c>
      <c r="D384" t="s">
        <v>149</v>
      </c>
      <c r="E384" t="s">
        <v>65</v>
      </c>
      <c r="F384" t="s">
        <v>113</v>
      </c>
      <c r="G384" t="s">
        <v>26</v>
      </c>
      <c r="H384">
        <v>2</v>
      </c>
      <c r="I384">
        <v>1678</v>
      </c>
      <c r="J384">
        <v>25</v>
      </c>
      <c r="K384" t="s">
        <v>19</v>
      </c>
      <c r="L384" t="s">
        <v>139</v>
      </c>
      <c r="M384">
        <v>2</v>
      </c>
    </row>
    <row r="385" spans="1:13" x14ac:dyDescent="0.3">
      <c r="A385" t="s">
        <v>621</v>
      </c>
      <c r="B385" s="2">
        <v>46053</v>
      </c>
      <c r="C385" t="s">
        <v>622</v>
      </c>
      <c r="D385" t="s">
        <v>98</v>
      </c>
      <c r="E385" t="s">
        <v>36</v>
      </c>
      <c r="F385" t="s">
        <v>135</v>
      </c>
      <c r="G385" t="s">
        <v>50</v>
      </c>
      <c r="H385">
        <v>1</v>
      </c>
      <c r="I385">
        <v>1322</v>
      </c>
      <c r="J385">
        <v>0</v>
      </c>
      <c r="K385" t="s">
        <v>27</v>
      </c>
      <c r="L385" t="s">
        <v>46</v>
      </c>
      <c r="M385">
        <v>0</v>
      </c>
    </row>
    <row r="386" spans="1:13" x14ac:dyDescent="0.3">
      <c r="A386" t="s">
        <v>623</v>
      </c>
      <c r="B386" s="2">
        <v>46044</v>
      </c>
      <c r="C386" t="s">
        <v>252</v>
      </c>
      <c r="D386" t="s">
        <v>94</v>
      </c>
      <c r="E386" t="s">
        <v>40</v>
      </c>
      <c r="F386" t="s">
        <v>127</v>
      </c>
      <c r="G386" t="s">
        <v>55</v>
      </c>
      <c r="H386">
        <v>1</v>
      </c>
      <c r="I386">
        <v>2100</v>
      </c>
      <c r="J386">
        <v>0</v>
      </c>
      <c r="K386" t="s">
        <v>56</v>
      </c>
      <c r="L386" t="s">
        <v>20</v>
      </c>
      <c r="M386">
        <v>5</v>
      </c>
    </row>
    <row r="387" spans="1:13" x14ac:dyDescent="0.3">
      <c r="A387" t="s">
        <v>624</v>
      </c>
      <c r="B387" s="2">
        <v>46094</v>
      </c>
      <c r="C387" t="s">
        <v>153</v>
      </c>
      <c r="D387" t="s">
        <v>80</v>
      </c>
      <c r="E387" t="s">
        <v>16</v>
      </c>
      <c r="F387" t="s">
        <v>383</v>
      </c>
      <c r="G387" t="s">
        <v>26</v>
      </c>
      <c r="H387">
        <v>1</v>
      </c>
      <c r="I387">
        <v>862</v>
      </c>
      <c r="J387">
        <v>5</v>
      </c>
      <c r="K387" t="s">
        <v>91</v>
      </c>
      <c r="L387" t="s">
        <v>20</v>
      </c>
      <c r="M387">
        <v>4</v>
      </c>
    </row>
    <row r="388" spans="1:13" x14ac:dyDescent="0.3">
      <c r="A388" t="s">
        <v>625</v>
      </c>
      <c r="B388" s="2">
        <v>46071</v>
      </c>
      <c r="C388" t="s">
        <v>275</v>
      </c>
      <c r="D388" t="s">
        <v>75</v>
      </c>
      <c r="E388" t="s">
        <v>40</v>
      </c>
      <c r="F388" t="s">
        <v>135</v>
      </c>
      <c r="G388" t="s">
        <v>50</v>
      </c>
      <c r="H388">
        <v>1</v>
      </c>
      <c r="I388">
        <v>2125</v>
      </c>
      <c r="J388">
        <v>0</v>
      </c>
      <c r="K388" t="s">
        <v>27</v>
      </c>
      <c r="L388" t="s">
        <v>139</v>
      </c>
      <c r="M388">
        <v>6</v>
      </c>
    </row>
    <row r="389" spans="1:13" x14ac:dyDescent="0.3">
      <c r="A389" t="s">
        <v>626</v>
      </c>
      <c r="B389" s="2">
        <v>46157</v>
      </c>
      <c r="C389" t="s">
        <v>197</v>
      </c>
      <c r="D389" t="s">
        <v>43</v>
      </c>
      <c r="E389" t="s">
        <v>40</v>
      </c>
      <c r="F389" t="s">
        <v>213</v>
      </c>
      <c r="G389" t="s">
        <v>18</v>
      </c>
      <c r="H389">
        <v>3</v>
      </c>
      <c r="I389">
        <v>54990</v>
      </c>
      <c r="J389">
        <v>10</v>
      </c>
      <c r="K389" t="s">
        <v>19</v>
      </c>
      <c r="L389" t="s">
        <v>20</v>
      </c>
      <c r="M389">
        <v>4</v>
      </c>
    </row>
    <row r="390" spans="1:13" x14ac:dyDescent="0.3">
      <c r="A390" t="s">
        <v>627</v>
      </c>
      <c r="B390" s="2">
        <v>46185</v>
      </c>
      <c r="C390" t="s">
        <v>350</v>
      </c>
      <c r="D390" t="s">
        <v>149</v>
      </c>
      <c r="E390" t="s">
        <v>40</v>
      </c>
      <c r="F390" t="s">
        <v>113</v>
      </c>
      <c r="G390" t="s">
        <v>26</v>
      </c>
      <c r="H390">
        <v>1</v>
      </c>
      <c r="I390">
        <v>1678</v>
      </c>
      <c r="J390">
        <v>5</v>
      </c>
      <c r="K390" t="s">
        <v>19</v>
      </c>
      <c r="L390" t="s">
        <v>20</v>
      </c>
      <c r="M390">
        <v>5</v>
      </c>
    </row>
    <row r="391" spans="1:13" x14ac:dyDescent="0.3">
      <c r="A391" t="s">
        <v>628</v>
      </c>
      <c r="B391" s="2">
        <v>46187</v>
      </c>
      <c r="C391" t="s">
        <v>372</v>
      </c>
      <c r="D391" t="s">
        <v>101</v>
      </c>
      <c r="E391" t="s">
        <v>36</v>
      </c>
      <c r="F391" t="s">
        <v>190</v>
      </c>
      <c r="G391" t="s">
        <v>55</v>
      </c>
      <c r="H391">
        <v>1</v>
      </c>
      <c r="I391">
        <v>1200</v>
      </c>
      <c r="J391">
        <v>15</v>
      </c>
      <c r="K391" t="s">
        <v>19</v>
      </c>
      <c r="L391" t="s">
        <v>20</v>
      </c>
      <c r="M391">
        <v>3</v>
      </c>
    </row>
    <row r="392" spans="1:13" x14ac:dyDescent="0.3">
      <c r="A392" t="s">
        <v>629</v>
      </c>
      <c r="B392" s="2">
        <v>46118</v>
      </c>
      <c r="C392" t="s">
        <v>630</v>
      </c>
      <c r="D392" t="s">
        <v>53</v>
      </c>
      <c r="E392" t="s">
        <v>65</v>
      </c>
      <c r="F392" t="s">
        <v>62</v>
      </c>
      <c r="G392" t="s">
        <v>50</v>
      </c>
      <c r="H392">
        <v>3</v>
      </c>
      <c r="I392">
        <v>2490</v>
      </c>
      <c r="J392">
        <v>5</v>
      </c>
      <c r="K392" t="s">
        <v>56</v>
      </c>
      <c r="L392" t="s">
        <v>46</v>
      </c>
      <c r="M392">
        <v>0</v>
      </c>
    </row>
    <row r="393" spans="1:13" x14ac:dyDescent="0.3">
      <c r="A393" t="s">
        <v>631</v>
      </c>
      <c r="B393" s="2">
        <v>46125</v>
      </c>
      <c r="C393" t="s">
        <v>477</v>
      </c>
      <c r="D393" t="s">
        <v>75</v>
      </c>
      <c r="E393" t="s">
        <v>117</v>
      </c>
      <c r="F393" t="s">
        <v>62</v>
      </c>
      <c r="G393" t="s">
        <v>50</v>
      </c>
      <c r="H393">
        <v>2</v>
      </c>
      <c r="I393">
        <v>2417</v>
      </c>
      <c r="J393">
        <v>10</v>
      </c>
      <c r="K393" t="s">
        <v>27</v>
      </c>
      <c r="L393" t="s">
        <v>20</v>
      </c>
      <c r="M393">
        <v>5</v>
      </c>
    </row>
    <row r="394" spans="1:13" x14ac:dyDescent="0.3">
      <c r="A394" t="s">
        <v>632</v>
      </c>
      <c r="B394" s="2">
        <v>46173</v>
      </c>
      <c r="C394" t="s">
        <v>254</v>
      </c>
      <c r="D394" t="s">
        <v>39</v>
      </c>
      <c r="E394" t="s">
        <v>16</v>
      </c>
      <c r="F394" t="s">
        <v>82</v>
      </c>
      <c r="G394" t="s">
        <v>50</v>
      </c>
      <c r="H394">
        <v>1</v>
      </c>
      <c r="I394">
        <v>2344</v>
      </c>
      <c r="J394">
        <v>5</v>
      </c>
      <c r="K394" t="s">
        <v>56</v>
      </c>
      <c r="L394" t="s">
        <v>20</v>
      </c>
      <c r="M394">
        <v>4</v>
      </c>
    </row>
    <row r="395" spans="1:13" x14ac:dyDescent="0.3">
      <c r="A395" t="s">
        <v>633</v>
      </c>
      <c r="B395" s="2">
        <v>46037</v>
      </c>
      <c r="C395" t="s">
        <v>419</v>
      </c>
      <c r="D395" t="s">
        <v>161</v>
      </c>
      <c r="E395" t="s">
        <v>40</v>
      </c>
      <c r="F395" t="s">
        <v>135</v>
      </c>
      <c r="G395" t="s">
        <v>50</v>
      </c>
      <c r="H395">
        <v>1</v>
      </c>
      <c r="I395">
        <v>957</v>
      </c>
      <c r="J395">
        <v>5</v>
      </c>
      <c r="K395" t="s">
        <v>19</v>
      </c>
      <c r="L395" t="s">
        <v>20</v>
      </c>
      <c r="M395">
        <v>3</v>
      </c>
    </row>
    <row r="396" spans="1:13" x14ac:dyDescent="0.3">
      <c r="A396" t="s">
        <v>634</v>
      </c>
      <c r="B396" s="2">
        <v>46155</v>
      </c>
      <c r="C396" t="s">
        <v>325</v>
      </c>
      <c r="D396" t="s">
        <v>116</v>
      </c>
      <c r="E396" t="s">
        <v>65</v>
      </c>
      <c r="F396" t="s">
        <v>383</v>
      </c>
      <c r="G396" t="s">
        <v>26</v>
      </c>
      <c r="H396">
        <v>1</v>
      </c>
      <c r="I396">
        <v>1321</v>
      </c>
      <c r="J396">
        <v>5</v>
      </c>
      <c r="K396" t="s">
        <v>27</v>
      </c>
      <c r="L396" t="s">
        <v>20</v>
      </c>
      <c r="M396">
        <v>3</v>
      </c>
    </row>
    <row r="397" spans="1:13" x14ac:dyDescent="0.3">
      <c r="A397" t="s">
        <v>635</v>
      </c>
      <c r="B397" s="2">
        <v>46159</v>
      </c>
      <c r="C397" t="s">
        <v>636</v>
      </c>
      <c r="D397" t="s">
        <v>15</v>
      </c>
      <c r="E397" t="s">
        <v>117</v>
      </c>
      <c r="F397" t="s">
        <v>49</v>
      </c>
      <c r="G397" t="s">
        <v>50</v>
      </c>
      <c r="H397">
        <v>1</v>
      </c>
      <c r="I397">
        <v>1541</v>
      </c>
      <c r="J397">
        <v>20</v>
      </c>
      <c r="K397" t="s">
        <v>19</v>
      </c>
      <c r="L397" t="s">
        <v>20</v>
      </c>
      <c r="M397">
        <v>3</v>
      </c>
    </row>
    <row r="398" spans="1:13" x14ac:dyDescent="0.3">
      <c r="A398" t="s">
        <v>637</v>
      </c>
      <c r="B398" s="2">
        <v>46047</v>
      </c>
      <c r="C398" t="s">
        <v>519</v>
      </c>
      <c r="D398" t="s">
        <v>23</v>
      </c>
      <c r="E398" t="s">
        <v>36</v>
      </c>
      <c r="F398" t="s">
        <v>156</v>
      </c>
      <c r="G398" t="s">
        <v>18</v>
      </c>
      <c r="H398">
        <v>3</v>
      </c>
      <c r="I398">
        <v>17337</v>
      </c>
      <c r="J398">
        <v>0</v>
      </c>
      <c r="K398" t="s">
        <v>19</v>
      </c>
      <c r="L398" t="s">
        <v>20</v>
      </c>
      <c r="M398">
        <v>2</v>
      </c>
    </row>
    <row r="399" spans="1:13" x14ac:dyDescent="0.3">
      <c r="A399" t="s">
        <v>638</v>
      </c>
      <c r="B399" s="2">
        <v>46047</v>
      </c>
      <c r="C399" t="s">
        <v>283</v>
      </c>
      <c r="D399" t="s">
        <v>35</v>
      </c>
      <c r="E399" t="s">
        <v>81</v>
      </c>
      <c r="F399" t="s">
        <v>82</v>
      </c>
      <c r="G399" t="s">
        <v>50</v>
      </c>
      <c r="H399">
        <v>1</v>
      </c>
      <c r="I399">
        <v>957</v>
      </c>
      <c r="J399">
        <v>0</v>
      </c>
      <c r="K399" t="s">
        <v>56</v>
      </c>
      <c r="L399" t="s">
        <v>139</v>
      </c>
      <c r="M399">
        <v>3</v>
      </c>
    </row>
    <row r="400" spans="1:13" x14ac:dyDescent="0.3">
      <c r="A400" t="s">
        <v>639</v>
      </c>
      <c r="B400" s="2">
        <v>46024</v>
      </c>
      <c r="C400" t="s">
        <v>129</v>
      </c>
      <c r="D400" t="s">
        <v>35</v>
      </c>
      <c r="E400" t="s">
        <v>65</v>
      </c>
      <c r="F400" t="s">
        <v>54</v>
      </c>
      <c r="G400" t="s">
        <v>55</v>
      </c>
      <c r="H400">
        <v>1</v>
      </c>
      <c r="I400">
        <v>1500</v>
      </c>
      <c r="J400">
        <v>0</v>
      </c>
      <c r="K400" t="s">
        <v>56</v>
      </c>
      <c r="L400" t="s">
        <v>20</v>
      </c>
      <c r="M400">
        <v>4</v>
      </c>
    </row>
    <row r="401" spans="1:13" x14ac:dyDescent="0.3">
      <c r="A401" t="s">
        <v>640</v>
      </c>
      <c r="B401" s="2">
        <v>46028</v>
      </c>
      <c r="C401" t="s">
        <v>230</v>
      </c>
      <c r="D401" t="s">
        <v>231</v>
      </c>
      <c r="E401" t="s">
        <v>16</v>
      </c>
      <c r="F401" t="s">
        <v>124</v>
      </c>
      <c r="G401" t="s">
        <v>55</v>
      </c>
      <c r="H401">
        <v>1</v>
      </c>
      <c r="I401">
        <v>1600</v>
      </c>
      <c r="J401">
        <v>10</v>
      </c>
      <c r="K401" t="s">
        <v>19</v>
      </c>
      <c r="L401" t="s">
        <v>20</v>
      </c>
      <c r="M401">
        <v>8</v>
      </c>
    </row>
    <row r="402" spans="1:13" x14ac:dyDescent="0.3">
      <c r="A402" t="s">
        <v>641</v>
      </c>
      <c r="B402" s="2">
        <v>46029</v>
      </c>
      <c r="C402" t="s">
        <v>642</v>
      </c>
      <c r="D402" t="s">
        <v>61</v>
      </c>
      <c r="E402" t="s">
        <v>36</v>
      </c>
      <c r="F402" t="s">
        <v>141</v>
      </c>
      <c r="G402" t="s">
        <v>50</v>
      </c>
      <c r="H402">
        <v>1</v>
      </c>
      <c r="I402">
        <v>1103</v>
      </c>
      <c r="J402">
        <v>0</v>
      </c>
      <c r="K402" t="s">
        <v>19</v>
      </c>
      <c r="L402" t="s">
        <v>20</v>
      </c>
      <c r="M402">
        <v>5</v>
      </c>
    </row>
    <row r="403" spans="1:13" x14ac:dyDescent="0.3">
      <c r="A403" t="s">
        <v>643</v>
      </c>
      <c r="B403" s="2">
        <v>46030</v>
      </c>
      <c r="C403" t="s">
        <v>400</v>
      </c>
      <c r="D403" t="s">
        <v>116</v>
      </c>
      <c r="E403" t="s">
        <v>24</v>
      </c>
      <c r="F403" t="s">
        <v>32</v>
      </c>
      <c r="G403" t="s">
        <v>18</v>
      </c>
      <c r="H403">
        <v>1</v>
      </c>
      <c r="I403">
        <v>38853</v>
      </c>
      <c r="J403">
        <v>20</v>
      </c>
      <c r="K403" t="s">
        <v>19</v>
      </c>
      <c r="L403" t="s">
        <v>20</v>
      </c>
      <c r="M403">
        <v>1</v>
      </c>
    </row>
    <row r="404" spans="1:13" x14ac:dyDescent="0.3">
      <c r="A404" t="s">
        <v>644</v>
      </c>
      <c r="B404" s="2">
        <v>46197</v>
      </c>
      <c r="C404" t="s">
        <v>305</v>
      </c>
      <c r="D404" t="s">
        <v>15</v>
      </c>
      <c r="F404" t="s">
        <v>90</v>
      </c>
      <c r="G404" t="s">
        <v>18</v>
      </c>
      <c r="H404">
        <v>2</v>
      </c>
      <c r="I404">
        <v>37060</v>
      </c>
      <c r="J404">
        <v>15</v>
      </c>
      <c r="K404" t="s">
        <v>19</v>
      </c>
      <c r="L404" t="s">
        <v>20</v>
      </c>
      <c r="M404">
        <v>3</v>
      </c>
    </row>
    <row r="405" spans="1:13" x14ac:dyDescent="0.3">
      <c r="A405" t="s">
        <v>645</v>
      </c>
      <c r="B405" s="2">
        <v>46085</v>
      </c>
      <c r="C405" t="s">
        <v>189</v>
      </c>
      <c r="D405" t="s">
        <v>30</v>
      </c>
      <c r="E405" t="s">
        <v>31</v>
      </c>
      <c r="F405" t="s">
        <v>124</v>
      </c>
      <c r="G405" t="s">
        <v>55</v>
      </c>
      <c r="H405">
        <v>2</v>
      </c>
      <c r="I405">
        <v>900</v>
      </c>
      <c r="J405">
        <v>10</v>
      </c>
      <c r="K405" t="s">
        <v>19</v>
      </c>
      <c r="L405" t="s">
        <v>20</v>
      </c>
      <c r="M405">
        <v>3</v>
      </c>
    </row>
    <row r="406" spans="1:13" x14ac:dyDescent="0.3">
      <c r="A406" t="s">
        <v>646</v>
      </c>
      <c r="B406" s="2">
        <v>46186</v>
      </c>
      <c r="C406" t="s">
        <v>395</v>
      </c>
      <c r="D406" t="s">
        <v>109</v>
      </c>
      <c r="E406" t="s">
        <v>36</v>
      </c>
      <c r="F406" t="s">
        <v>32</v>
      </c>
      <c r="G406" t="s">
        <v>18</v>
      </c>
      <c r="H406">
        <v>2</v>
      </c>
      <c r="I406">
        <v>26302</v>
      </c>
      <c r="J406">
        <v>0</v>
      </c>
      <c r="K406" t="s">
        <v>27</v>
      </c>
      <c r="L406" t="s">
        <v>20</v>
      </c>
      <c r="M406">
        <v>2</v>
      </c>
    </row>
    <row r="407" spans="1:13" x14ac:dyDescent="0.3">
      <c r="A407" t="s">
        <v>647</v>
      </c>
      <c r="B407" s="2">
        <v>46170</v>
      </c>
      <c r="C407" t="s">
        <v>235</v>
      </c>
      <c r="D407" t="s">
        <v>109</v>
      </c>
      <c r="E407" t="s">
        <v>117</v>
      </c>
      <c r="F407" t="s">
        <v>82</v>
      </c>
      <c r="G407" t="s">
        <v>50</v>
      </c>
      <c r="H407">
        <v>1</v>
      </c>
      <c r="I407">
        <v>519</v>
      </c>
      <c r="J407">
        <v>0</v>
      </c>
      <c r="K407" t="s">
        <v>91</v>
      </c>
      <c r="L407" t="s">
        <v>20</v>
      </c>
      <c r="M407">
        <v>4</v>
      </c>
    </row>
    <row r="408" spans="1:13" x14ac:dyDescent="0.3">
      <c r="A408" t="s">
        <v>648</v>
      </c>
      <c r="B408" s="2">
        <v>46181</v>
      </c>
      <c r="C408" t="s">
        <v>129</v>
      </c>
      <c r="D408" t="s">
        <v>35</v>
      </c>
      <c r="E408" t="s">
        <v>31</v>
      </c>
      <c r="F408" t="s">
        <v>124</v>
      </c>
      <c r="G408" t="s">
        <v>55</v>
      </c>
      <c r="H408">
        <v>1</v>
      </c>
      <c r="I408">
        <v>3100</v>
      </c>
      <c r="J408">
        <v>5</v>
      </c>
      <c r="K408" t="s">
        <v>19</v>
      </c>
      <c r="L408" t="s">
        <v>20</v>
      </c>
      <c r="M408">
        <v>6</v>
      </c>
    </row>
    <row r="409" spans="1:13" x14ac:dyDescent="0.3">
      <c r="A409" t="s">
        <v>649</v>
      </c>
      <c r="B409" s="2">
        <v>46038</v>
      </c>
      <c r="C409" t="s">
        <v>38</v>
      </c>
      <c r="D409" t="s">
        <v>39</v>
      </c>
      <c r="E409" t="s">
        <v>36</v>
      </c>
      <c r="F409" t="s">
        <v>85</v>
      </c>
      <c r="G409" t="s">
        <v>45</v>
      </c>
      <c r="H409">
        <v>2</v>
      </c>
      <c r="I409">
        <v>1300</v>
      </c>
      <c r="J409">
        <v>10</v>
      </c>
      <c r="K409" t="s">
        <v>56</v>
      </c>
      <c r="L409" t="s">
        <v>20</v>
      </c>
      <c r="M409">
        <v>1</v>
      </c>
    </row>
    <row r="410" spans="1:13" x14ac:dyDescent="0.3">
      <c r="A410" t="s">
        <v>650</v>
      </c>
      <c r="B410" s="2">
        <v>46152</v>
      </c>
      <c r="C410" t="s">
        <v>578</v>
      </c>
      <c r="D410" t="s">
        <v>184</v>
      </c>
      <c r="E410" t="s">
        <v>117</v>
      </c>
      <c r="F410" t="s">
        <v>62</v>
      </c>
      <c r="G410" t="s">
        <v>50</v>
      </c>
      <c r="H410">
        <v>1</v>
      </c>
      <c r="I410">
        <v>2125</v>
      </c>
      <c r="J410">
        <v>0</v>
      </c>
      <c r="K410" t="s">
        <v>91</v>
      </c>
      <c r="L410" t="s">
        <v>20</v>
      </c>
      <c r="M410">
        <v>3</v>
      </c>
    </row>
    <row r="411" spans="1:13" x14ac:dyDescent="0.3">
      <c r="A411" t="s">
        <v>651</v>
      </c>
      <c r="B411" s="2">
        <v>46135</v>
      </c>
      <c r="C411" t="s">
        <v>652</v>
      </c>
      <c r="D411" t="s">
        <v>71</v>
      </c>
      <c r="E411" t="s">
        <v>24</v>
      </c>
      <c r="F411" t="s">
        <v>25</v>
      </c>
      <c r="G411" t="s">
        <v>26</v>
      </c>
      <c r="H411">
        <v>1</v>
      </c>
      <c r="I411">
        <v>1627</v>
      </c>
      <c r="J411">
        <v>5</v>
      </c>
      <c r="K411" t="s">
        <v>19</v>
      </c>
      <c r="L411" t="s">
        <v>20</v>
      </c>
      <c r="M411">
        <v>3</v>
      </c>
    </row>
    <row r="412" spans="1:13" x14ac:dyDescent="0.3">
      <c r="A412" t="s">
        <v>653</v>
      </c>
      <c r="B412" s="2">
        <v>46127</v>
      </c>
      <c r="C412" t="s">
        <v>376</v>
      </c>
      <c r="D412" t="s">
        <v>43</v>
      </c>
      <c r="E412" t="s">
        <v>117</v>
      </c>
      <c r="F412" t="s">
        <v>131</v>
      </c>
      <c r="G412" t="s">
        <v>55</v>
      </c>
      <c r="H412">
        <v>1</v>
      </c>
      <c r="I412">
        <v>2600</v>
      </c>
      <c r="J412">
        <v>15</v>
      </c>
      <c r="K412" t="s">
        <v>19</v>
      </c>
      <c r="L412" t="s">
        <v>139</v>
      </c>
      <c r="M412">
        <v>4</v>
      </c>
    </row>
    <row r="413" spans="1:13" x14ac:dyDescent="0.3">
      <c r="A413" t="s">
        <v>654</v>
      </c>
      <c r="B413" s="2">
        <v>46111</v>
      </c>
      <c r="C413" t="s">
        <v>133</v>
      </c>
      <c r="D413" t="s">
        <v>35</v>
      </c>
      <c r="E413" t="s">
        <v>65</v>
      </c>
      <c r="F413" t="s">
        <v>190</v>
      </c>
      <c r="G413" t="s">
        <v>55</v>
      </c>
      <c r="H413">
        <v>1</v>
      </c>
      <c r="I413">
        <v>3000</v>
      </c>
      <c r="J413">
        <v>0</v>
      </c>
      <c r="K413" t="s">
        <v>19</v>
      </c>
      <c r="L413" t="s">
        <v>20</v>
      </c>
      <c r="M413">
        <v>3</v>
      </c>
    </row>
    <row r="414" spans="1:13" x14ac:dyDescent="0.3">
      <c r="A414" t="s">
        <v>655</v>
      </c>
      <c r="B414" s="2">
        <v>46186</v>
      </c>
      <c r="C414" t="s">
        <v>487</v>
      </c>
      <c r="D414" t="s">
        <v>116</v>
      </c>
      <c r="E414" t="s">
        <v>36</v>
      </c>
      <c r="F414" t="s">
        <v>127</v>
      </c>
      <c r="G414" t="s">
        <v>55</v>
      </c>
      <c r="H414">
        <v>1</v>
      </c>
      <c r="I414">
        <v>1800</v>
      </c>
      <c r="J414">
        <v>15</v>
      </c>
      <c r="K414" t="s">
        <v>27</v>
      </c>
      <c r="L414" t="s">
        <v>20</v>
      </c>
      <c r="M414">
        <v>7</v>
      </c>
    </row>
    <row r="415" spans="1:13" x14ac:dyDescent="0.3">
      <c r="A415" t="s">
        <v>656</v>
      </c>
      <c r="B415" s="2">
        <v>46046</v>
      </c>
      <c r="C415" t="s">
        <v>197</v>
      </c>
      <c r="D415" t="s">
        <v>43</v>
      </c>
      <c r="E415" t="s">
        <v>31</v>
      </c>
      <c r="F415" t="s">
        <v>135</v>
      </c>
      <c r="G415" t="s">
        <v>50</v>
      </c>
      <c r="H415">
        <v>1</v>
      </c>
      <c r="I415">
        <v>1541</v>
      </c>
      <c r="J415">
        <v>15</v>
      </c>
      <c r="K415" t="s">
        <v>56</v>
      </c>
      <c r="L415" t="s">
        <v>20</v>
      </c>
      <c r="M415">
        <v>5</v>
      </c>
    </row>
    <row r="416" spans="1:13" x14ac:dyDescent="0.3">
      <c r="A416" t="s">
        <v>657</v>
      </c>
      <c r="B416" s="2">
        <v>46118</v>
      </c>
      <c r="C416" t="s">
        <v>179</v>
      </c>
      <c r="D416" t="s">
        <v>23</v>
      </c>
      <c r="E416" t="s">
        <v>81</v>
      </c>
      <c r="F416" t="s">
        <v>82</v>
      </c>
      <c r="G416" t="s">
        <v>50</v>
      </c>
      <c r="H416">
        <v>1</v>
      </c>
      <c r="I416">
        <v>665</v>
      </c>
      <c r="J416">
        <v>0</v>
      </c>
      <c r="K416" t="s">
        <v>19</v>
      </c>
      <c r="L416" t="s">
        <v>20</v>
      </c>
      <c r="M416">
        <v>4</v>
      </c>
    </row>
    <row r="417" spans="1:13" x14ac:dyDescent="0.3">
      <c r="A417" t="s">
        <v>658</v>
      </c>
      <c r="B417" s="2">
        <v>46126</v>
      </c>
      <c r="C417" t="s">
        <v>395</v>
      </c>
      <c r="D417" t="s">
        <v>109</v>
      </c>
      <c r="E417" t="s">
        <v>36</v>
      </c>
      <c r="F417" t="s">
        <v>190</v>
      </c>
      <c r="G417" t="s">
        <v>55</v>
      </c>
      <c r="H417">
        <v>3</v>
      </c>
      <c r="I417">
        <v>2000</v>
      </c>
      <c r="J417">
        <v>15</v>
      </c>
      <c r="K417" t="s">
        <v>19</v>
      </c>
      <c r="L417" t="s">
        <v>20</v>
      </c>
      <c r="M417">
        <v>4</v>
      </c>
    </row>
    <row r="418" spans="1:13" x14ac:dyDescent="0.3">
      <c r="A418" t="s">
        <v>659</v>
      </c>
      <c r="B418" s="2">
        <v>46131</v>
      </c>
      <c r="C418" t="s">
        <v>360</v>
      </c>
      <c r="D418" t="s">
        <v>116</v>
      </c>
      <c r="E418" t="s">
        <v>65</v>
      </c>
      <c r="F418" t="s">
        <v>62</v>
      </c>
      <c r="G418" t="s">
        <v>50</v>
      </c>
      <c r="H418">
        <v>1</v>
      </c>
      <c r="I418">
        <v>1249</v>
      </c>
      <c r="J418">
        <v>0</v>
      </c>
      <c r="K418" t="s">
        <v>56</v>
      </c>
      <c r="L418" t="s">
        <v>20</v>
      </c>
      <c r="M418">
        <v>1</v>
      </c>
    </row>
    <row r="419" spans="1:13" x14ac:dyDescent="0.3">
      <c r="A419" t="s">
        <v>660</v>
      </c>
      <c r="B419" s="2">
        <v>46132</v>
      </c>
      <c r="C419" t="s">
        <v>432</v>
      </c>
      <c r="D419" t="s">
        <v>23</v>
      </c>
      <c r="E419" t="s">
        <v>36</v>
      </c>
      <c r="F419" t="s">
        <v>135</v>
      </c>
      <c r="G419" t="s">
        <v>50</v>
      </c>
      <c r="H419">
        <v>2</v>
      </c>
      <c r="I419">
        <v>2198</v>
      </c>
      <c r="J419">
        <v>20</v>
      </c>
      <c r="K419" t="s">
        <v>27</v>
      </c>
      <c r="L419" t="s">
        <v>20</v>
      </c>
      <c r="M419">
        <v>6</v>
      </c>
    </row>
    <row r="420" spans="1:13" x14ac:dyDescent="0.3">
      <c r="A420" t="s">
        <v>661</v>
      </c>
      <c r="B420" s="2">
        <v>46111</v>
      </c>
      <c r="C420" t="s">
        <v>93</v>
      </c>
      <c r="D420" t="s">
        <v>94</v>
      </c>
      <c r="E420" t="s">
        <v>31</v>
      </c>
      <c r="F420" t="s">
        <v>190</v>
      </c>
      <c r="G420" t="s">
        <v>55</v>
      </c>
      <c r="H420">
        <v>1</v>
      </c>
      <c r="I420">
        <v>2700</v>
      </c>
      <c r="J420">
        <v>15</v>
      </c>
      <c r="K420" t="s">
        <v>91</v>
      </c>
      <c r="L420" t="s">
        <v>20</v>
      </c>
      <c r="M420">
        <v>3</v>
      </c>
    </row>
    <row r="421" spans="1:13" x14ac:dyDescent="0.3">
      <c r="A421" t="s">
        <v>662</v>
      </c>
      <c r="B421" s="2">
        <v>46038</v>
      </c>
      <c r="C421" t="s">
        <v>205</v>
      </c>
      <c r="D421" t="s">
        <v>98</v>
      </c>
      <c r="E421" t="s">
        <v>24</v>
      </c>
      <c r="F421" t="s">
        <v>49</v>
      </c>
      <c r="G421" t="s">
        <v>50</v>
      </c>
      <c r="H421">
        <v>1</v>
      </c>
      <c r="I421">
        <v>2490</v>
      </c>
      <c r="J421">
        <v>5</v>
      </c>
      <c r="K421" t="s">
        <v>19</v>
      </c>
      <c r="L421" t="s">
        <v>20</v>
      </c>
      <c r="M421">
        <v>2</v>
      </c>
    </row>
    <row r="422" spans="1:13" x14ac:dyDescent="0.3">
      <c r="A422" t="s">
        <v>663</v>
      </c>
      <c r="B422" s="2">
        <v>46183</v>
      </c>
      <c r="C422" t="s">
        <v>151</v>
      </c>
      <c r="D422" t="s">
        <v>98</v>
      </c>
      <c r="E422" t="s">
        <v>117</v>
      </c>
      <c r="F422" t="s">
        <v>213</v>
      </c>
      <c r="G422" t="s">
        <v>18</v>
      </c>
      <c r="H422">
        <v>2</v>
      </c>
      <c r="I422">
        <v>20923</v>
      </c>
      <c r="J422">
        <v>15</v>
      </c>
      <c r="K422" t="s">
        <v>56</v>
      </c>
      <c r="L422" t="s">
        <v>20</v>
      </c>
      <c r="M422">
        <v>5</v>
      </c>
    </row>
    <row r="423" spans="1:13" x14ac:dyDescent="0.3">
      <c r="A423" t="s">
        <v>664</v>
      </c>
      <c r="B423" s="2">
        <v>46124</v>
      </c>
      <c r="C423" t="s">
        <v>665</v>
      </c>
      <c r="D423" t="s">
        <v>149</v>
      </c>
      <c r="E423" t="s">
        <v>36</v>
      </c>
      <c r="F423" t="s">
        <v>113</v>
      </c>
      <c r="G423" t="s">
        <v>26</v>
      </c>
      <c r="H423">
        <v>2</v>
      </c>
      <c r="I423">
        <v>1627</v>
      </c>
      <c r="J423">
        <v>5</v>
      </c>
      <c r="K423" t="s">
        <v>27</v>
      </c>
      <c r="L423" t="s">
        <v>20</v>
      </c>
      <c r="M423">
        <v>2</v>
      </c>
    </row>
    <row r="424" spans="1:13" x14ac:dyDescent="0.3">
      <c r="A424" t="s">
        <v>666</v>
      </c>
      <c r="B424" s="2">
        <v>46112</v>
      </c>
      <c r="C424" t="s">
        <v>302</v>
      </c>
      <c r="D424" t="s">
        <v>231</v>
      </c>
      <c r="E424" t="s">
        <v>36</v>
      </c>
      <c r="F424" t="s">
        <v>54</v>
      </c>
      <c r="G424" t="s">
        <v>55</v>
      </c>
      <c r="H424">
        <v>1</v>
      </c>
      <c r="I424">
        <v>1700</v>
      </c>
      <c r="J424">
        <v>0</v>
      </c>
      <c r="K424" t="s">
        <v>19</v>
      </c>
      <c r="L424" t="s">
        <v>20</v>
      </c>
      <c r="M424">
        <v>4</v>
      </c>
    </row>
    <row r="425" spans="1:13" x14ac:dyDescent="0.3">
      <c r="A425" t="s">
        <v>667</v>
      </c>
      <c r="B425" s="2">
        <v>46033</v>
      </c>
      <c r="C425" t="s">
        <v>58</v>
      </c>
      <c r="D425" t="s">
        <v>53</v>
      </c>
      <c r="E425" t="s">
        <v>117</v>
      </c>
      <c r="F425" t="s">
        <v>25</v>
      </c>
      <c r="G425" t="s">
        <v>26</v>
      </c>
      <c r="H425">
        <v>1</v>
      </c>
      <c r="I425">
        <v>760</v>
      </c>
      <c r="J425">
        <v>5</v>
      </c>
      <c r="K425" t="s">
        <v>27</v>
      </c>
      <c r="L425" t="s">
        <v>20</v>
      </c>
      <c r="M425">
        <v>1</v>
      </c>
    </row>
    <row r="426" spans="1:13" x14ac:dyDescent="0.3">
      <c r="A426" t="s">
        <v>668</v>
      </c>
      <c r="B426" s="2">
        <v>46142</v>
      </c>
      <c r="C426" t="s">
        <v>202</v>
      </c>
      <c r="D426" t="s">
        <v>109</v>
      </c>
      <c r="E426" t="s">
        <v>36</v>
      </c>
      <c r="F426" t="s">
        <v>122</v>
      </c>
      <c r="G426" t="s">
        <v>45</v>
      </c>
      <c r="H426">
        <v>2</v>
      </c>
      <c r="I426">
        <v>1350</v>
      </c>
      <c r="J426">
        <v>15</v>
      </c>
      <c r="K426" t="s">
        <v>19</v>
      </c>
      <c r="L426" t="s">
        <v>46</v>
      </c>
      <c r="M426">
        <v>0</v>
      </c>
    </row>
    <row r="427" spans="1:13" x14ac:dyDescent="0.3">
      <c r="A427" t="s">
        <v>669</v>
      </c>
      <c r="B427" s="2">
        <v>46068</v>
      </c>
      <c r="C427" t="s">
        <v>22</v>
      </c>
      <c r="D427" t="s">
        <v>23</v>
      </c>
      <c r="E427" t="s">
        <v>81</v>
      </c>
      <c r="F427" t="s">
        <v>95</v>
      </c>
      <c r="G427" t="s">
        <v>45</v>
      </c>
      <c r="H427">
        <v>2</v>
      </c>
      <c r="I427">
        <v>1350</v>
      </c>
      <c r="J427">
        <v>5</v>
      </c>
      <c r="K427" t="s">
        <v>91</v>
      </c>
      <c r="L427" t="s">
        <v>20</v>
      </c>
      <c r="M427">
        <v>2</v>
      </c>
    </row>
    <row r="428" spans="1:13" x14ac:dyDescent="0.3">
      <c r="A428" t="s">
        <v>670</v>
      </c>
      <c r="B428" s="2">
        <v>46029</v>
      </c>
      <c r="C428" t="s">
        <v>671</v>
      </c>
      <c r="D428" t="s">
        <v>71</v>
      </c>
      <c r="E428" t="s">
        <v>40</v>
      </c>
      <c r="F428" t="s">
        <v>127</v>
      </c>
      <c r="G428" t="s">
        <v>55</v>
      </c>
      <c r="H428">
        <v>2</v>
      </c>
      <c r="I428">
        <v>2700</v>
      </c>
      <c r="J428">
        <v>5</v>
      </c>
      <c r="K428" t="s">
        <v>27</v>
      </c>
      <c r="L428" t="s">
        <v>20</v>
      </c>
      <c r="M428">
        <v>4</v>
      </c>
    </row>
    <row r="429" spans="1:13" x14ac:dyDescent="0.3">
      <c r="A429" t="s">
        <v>672</v>
      </c>
      <c r="B429" s="2">
        <v>46186</v>
      </c>
      <c r="C429" t="s">
        <v>228</v>
      </c>
      <c r="D429" t="s">
        <v>15</v>
      </c>
      <c r="E429" t="s">
        <v>36</v>
      </c>
      <c r="F429" t="s">
        <v>32</v>
      </c>
      <c r="G429" t="s">
        <v>18</v>
      </c>
      <c r="H429">
        <v>1</v>
      </c>
      <c r="I429">
        <v>29888</v>
      </c>
      <c r="J429">
        <v>0</v>
      </c>
      <c r="K429" t="s">
        <v>91</v>
      </c>
      <c r="L429" t="s">
        <v>20</v>
      </c>
      <c r="M429">
        <v>5</v>
      </c>
    </row>
    <row r="430" spans="1:13" x14ac:dyDescent="0.3">
      <c r="A430" t="s">
        <v>673</v>
      </c>
      <c r="B430" s="2">
        <v>46201</v>
      </c>
      <c r="C430" t="s">
        <v>239</v>
      </c>
      <c r="D430" t="s">
        <v>149</v>
      </c>
      <c r="E430" t="s">
        <v>36</v>
      </c>
      <c r="F430" t="s">
        <v>135</v>
      </c>
      <c r="G430" t="s">
        <v>50</v>
      </c>
      <c r="H430">
        <v>1</v>
      </c>
      <c r="I430">
        <v>1833</v>
      </c>
      <c r="J430">
        <v>0</v>
      </c>
      <c r="K430" t="s">
        <v>56</v>
      </c>
      <c r="L430" t="s">
        <v>46</v>
      </c>
      <c r="M430">
        <v>0</v>
      </c>
    </row>
    <row r="431" spans="1:13" x14ac:dyDescent="0.3">
      <c r="A431" t="s">
        <v>674</v>
      </c>
      <c r="B431" s="2">
        <v>46103</v>
      </c>
      <c r="C431" t="s">
        <v>620</v>
      </c>
      <c r="D431" t="s">
        <v>149</v>
      </c>
      <c r="E431" t="s">
        <v>24</v>
      </c>
      <c r="F431" t="s">
        <v>90</v>
      </c>
      <c r="G431" t="s">
        <v>18</v>
      </c>
      <c r="H431">
        <v>1</v>
      </c>
      <c r="I431">
        <v>44232</v>
      </c>
      <c r="J431">
        <v>10</v>
      </c>
      <c r="K431" t="s">
        <v>19</v>
      </c>
      <c r="L431" t="s">
        <v>20</v>
      </c>
      <c r="M431">
        <v>3</v>
      </c>
    </row>
    <row r="432" spans="1:13" x14ac:dyDescent="0.3">
      <c r="A432" t="s">
        <v>675</v>
      </c>
      <c r="B432" s="2">
        <v>46026</v>
      </c>
      <c r="C432" t="s">
        <v>370</v>
      </c>
      <c r="D432" t="s">
        <v>231</v>
      </c>
      <c r="E432" t="s">
        <v>81</v>
      </c>
      <c r="F432" t="s">
        <v>90</v>
      </c>
      <c r="G432" t="s">
        <v>18</v>
      </c>
      <c r="H432">
        <v>1</v>
      </c>
      <c r="I432">
        <v>6579</v>
      </c>
      <c r="J432">
        <v>10</v>
      </c>
      <c r="K432" t="s">
        <v>56</v>
      </c>
      <c r="L432" t="s">
        <v>20</v>
      </c>
      <c r="M432">
        <v>2</v>
      </c>
    </row>
    <row r="433" spans="1:13" x14ac:dyDescent="0.3">
      <c r="A433" t="s">
        <v>676</v>
      </c>
      <c r="B433" s="2">
        <v>46058</v>
      </c>
      <c r="C433" t="s">
        <v>202</v>
      </c>
      <c r="D433" t="s">
        <v>109</v>
      </c>
      <c r="E433" t="s">
        <v>117</v>
      </c>
      <c r="F433" t="s">
        <v>213</v>
      </c>
      <c r="G433" t="s">
        <v>18</v>
      </c>
      <c r="H433">
        <v>1</v>
      </c>
      <c r="I433">
        <v>24509</v>
      </c>
      <c r="J433">
        <v>0</v>
      </c>
      <c r="K433" t="s">
        <v>56</v>
      </c>
      <c r="L433" t="s">
        <v>20</v>
      </c>
      <c r="M433">
        <v>3</v>
      </c>
    </row>
    <row r="434" spans="1:13" x14ac:dyDescent="0.3">
      <c r="A434" t="s">
        <v>677</v>
      </c>
      <c r="B434" s="2">
        <v>46039</v>
      </c>
      <c r="C434" t="s">
        <v>642</v>
      </c>
      <c r="D434" t="s">
        <v>61</v>
      </c>
      <c r="E434" t="s">
        <v>40</v>
      </c>
      <c r="F434" t="s">
        <v>127</v>
      </c>
      <c r="G434" t="s">
        <v>55</v>
      </c>
      <c r="H434">
        <v>1</v>
      </c>
      <c r="I434">
        <v>800</v>
      </c>
      <c r="J434">
        <v>5</v>
      </c>
      <c r="K434" t="s">
        <v>56</v>
      </c>
      <c r="L434" t="s">
        <v>46</v>
      </c>
      <c r="M434">
        <v>0</v>
      </c>
    </row>
    <row r="435" spans="1:13" x14ac:dyDescent="0.3">
      <c r="A435" t="s">
        <v>678</v>
      </c>
      <c r="B435" s="2">
        <v>46040</v>
      </c>
      <c r="C435" t="s">
        <v>327</v>
      </c>
      <c r="D435" t="s">
        <v>35</v>
      </c>
      <c r="E435" t="s">
        <v>31</v>
      </c>
      <c r="F435" t="s">
        <v>17</v>
      </c>
      <c r="G435" t="s">
        <v>18</v>
      </c>
      <c r="H435">
        <v>1</v>
      </c>
      <c r="I435">
        <v>1200</v>
      </c>
      <c r="J435">
        <v>25</v>
      </c>
      <c r="K435" t="s">
        <v>19</v>
      </c>
      <c r="L435" t="s">
        <v>20</v>
      </c>
      <c r="M435">
        <v>5</v>
      </c>
    </row>
    <row r="436" spans="1:13" x14ac:dyDescent="0.3">
      <c r="A436" t="s">
        <v>679</v>
      </c>
      <c r="B436" s="2">
        <v>46174</v>
      </c>
      <c r="C436" t="s">
        <v>207</v>
      </c>
      <c r="D436" t="s">
        <v>53</v>
      </c>
      <c r="E436" t="s">
        <v>40</v>
      </c>
      <c r="F436" t="s">
        <v>135</v>
      </c>
      <c r="G436" t="s">
        <v>50</v>
      </c>
      <c r="H436">
        <v>2</v>
      </c>
      <c r="I436">
        <v>2417</v>
      </c>
      <c r="J436">
        <v>10</v>
      </c>
      <c r="K436" t="s">
        <v>56</v>
      </c>
      <c r="L436" t="s">
        <v>46</v>
      </c>
      <c r="M436">
        <v>0</v>
      </c>
    </row>
    <row r="437" spans="1:13" x14ac:dyDescent="0.3">
      <c r="A437" t="s">
        <v>680</v>
      </c>
      <c r="B437" s="2">
        <v>46189</v>
      </c>
      <c r="C437" t="s">
        <v>155</v>
      </c>
      <c r="D437" t="s">
        <v>39</v>
      </c>
      <c r="E437" t="s">
        <v>24</v>
      </c>
      <c r="F437" t="s">
        <v>17</v>
      </c>
      <c r="G437" t="s">
        <v>18</v>
      </c>
      <c r="H437">
        <v>1</v>
      </c>
      <c r="I437">
        <v>1200</v>
      </c>
      <c r="J437">
        <v>5</v>
      </c>
      <c r="K437" t="s">
        <v>27</v>
      </c>
      <c r="L437" t="s">
        <v>20</v>
      </c>
      <c r="M437">
        <v>3</v>
      </c>
    </row>
    <row r="438" spans="1:13" x14ac:dyDescent="0.3">
      <c r="A438" t="s">
        <v>681</v>
      </c>
      <c r="B438" s="2">
        <v>46187</v>
      </c>
      <c r="C438" t="s">
        <v>239</v>
      </c>
      <c r="D438" t="s">
        <v>149</v>
      </c>
      <c r="E438" t="s">
        <v>65</v>
      </c>
      <c r="F438" t="s">
        <v>25</v>
      </c>
      <c r="G438" t="s">
        <v>26</v>
      </c>
      <c r="H438">
        <v>2</v>
      </c>
      <c r="I438">
        <v>760</v>
      </c>
      <c r="J438">
        <v>10</v>
      </c>
      <c r="K438" t="s">
        <v>19</v>
      </c>
      <c r="L438" t="s">
        <v>20</v>
      </c>
      <c r="M438">
        <v>1</v>
      </c>
    </row>
    <row r="439" spans="1:13" x14ac:dyDescent="0.3">
      <c r="A439" t="s">
        <v>682</v>
      </c>
      <c r="B439" s="2">
        <v>46194</v>
      </c>
      <c r="C439" t="s">
        <v>510</v>
      </c>
      <c r="D439" t="s">
        <v>23</v>
      </c>
      <c r="E439" t="s">
        <v>24</v>
      </c>
      <c r="F439" t="s">
        <v>127</v>
      </c>
      <c r="G439" t="s">
        <v>55</v>
      </c>
      <c r="H439">
        <v>1</v>
      </c>
      <c r="I439">
        <v>2500</v>
      </c>
      <c r="J439">
        <v>25</v>
      </c>
      <c r="K439" t="s">
        <v>27</v>
      </c>
      <c r="L439" t="s">
        <v>20</v>
      </c>
      <c r="M439">
        <v>5</v>
      </c>
    </row>
    <row r="440" spans="1:13" x14ac:dyDescent="0.3">
      <c r="A440" t="s">
        <v>683</v>
      </c>
      <c r="B440" s="2">
        <v>46195</v>
      </c>
      <c r="C440" t="s">
        <v>137</v>
      </c>
      <c r="D440" t="s">
        <v>71</v>
      </c>
      <c r="E440" t="s">
        <v>16</v>
      </c>
      <c r="F440" t="s">
        <v>113</v>
      </c>
      <c r="G440" t="s">
        <v>26</v>
      </c>
      <c r="H440">
        <v>1</v>
      </c>
      <c r="I440">
        <v>709</v>
      </c>
      <c r="J440">
        <v>15</v>
      </c>
      <c r="K440" t="s">
        <v>27</v>
      </c>
      <c r="L440" t="s">
        <v>20</v>
      </c>
      <c r="M440">
        <v>1</v>
      </c>
    </row>
    <row r="441" spans="1:13" x14ac:dyDescent="0.3">
      <c r="A441" t="s">
        <v>684</v>
      </c>
      <c r="B441" s="2">
        <v>46145</v>
      </c>
      <c r="C441" t="s">
        <v>148</v>
      </c>
      <c r="D441" t="s">
        <v>149</v>
      </c>
      <c r="E441" t="s">
        <v>36</v>
      </c>
      <c r="F441" t="s">
        <v>32</v>
      </c>
      <c r="G441" t="s">
        <v>18</v>
      </c>
      <c r="H441">
        <v>1</v>
      </c>
      <c r="I441">
        <v>51404</v>
      </c>
      <c r="J441">
        <v>0</v>
      </c>
      <c r="K441" t="s">
        <v>19</v>
      </c>
      <c r="L441" t="s">
        <v>20</v>
      </c>
      <c r="M441">
        <v>1</v>
      </c>
    </row>
    <row r="442" spans="1:13" x14ac:dyDescent="0.3">
      <c r="A442" t="s">
        <v>685</v>
      </c>
      <c r="B442" s="2">
        <v>46106</v>
      </c>
      <c r="C442" t="s">
        <v>502</v>
      </c>
      <c r="D442" t="s">
        <v>80</v>
      </c>
      <c r="E442" t="s">
        <v>40</v>
      </c>
      <c r="F442" t="s">
        <v>213</v>
      </c>
      <c r="G442" t="s">
        <v>18</v>
      </c>
      <c r="H442">
        <v>1</v>
      </c>
      <c r="I442">
        <v>22716</v>
      </c>
      <c r="J442">
        <v>10</v>
      </c>
      <c r="K442" t="s">
        <v>91</v>
      </c>
      <c r="L442" t="s">
        <v>20</v>
      </c>
      <c r="M442">
        <v>3</v>
      </c>
    </row>
    <row r="443" spans="1:13" x14ac:dyDescent="0.3">
      <c r="A443" t="s">
        <v>686</v>
      </c>
      <c r="B443" s="2">
        <v>46099</v>
      </c>
      <c r="C443" t="s">
        <v>74</v>
      </c>
      <c r="D443" t="s">
        <v>75</v>
      </c>
      <c r="E443" t="s">
        <v>36</v>
      </c>
      <c r="F443" t="s">
        <v>44</v>
      </c>
      <c r="G443" t="s">
        <v>45</v>
      </c>
      <c r="H443">
        <v>3</v>
      </c>
      <c r="I443">
        <v>550</v>
      </c>
      <c r="J443">
        <v>10</v>
      </c>
      <c r="K443" t="s">
        <v>27</v>
      </c>
      <c r="L443" t="s">
        <v>20</v>
      </c>
      <c r="M443">
        <v>1</v>
      </c>
    </row>
    <row r="444" spans="1:13" x14ac:dyDescent="0.3">
      <c r="A444" t="s">
        <v>687</v>
      </c>
      <c r="B444" s="2">
        <v>46072</v>
      </c>
      <c r="C444" t="s">
        <v>309</v>
      </c>
      <c r="D444" t="s">
        <v>30</v>
      </c>
      <c r="E444" t="s">
        <v>36</v>
      </c>
      <c r="F444" t="s">
        <v>90</v>
      </c>
      <c r="G444" t="s">
        <v>18</v>
      </c>
      <c r="H444">
        <v>1</v>
      </c>
      <c r="I444">
        <v>24509</v>
      </c>
      <c r="J444">
        <v>5</v>
      </c>
      <c r="K444" t="s">
        <v>19</v>
      </c>
      <c r="L444" t="s">
        <v>139</v>
      </c>
      <c r="M444">
        <v>6</v>
      </c>
    </row>
    <row r="445" spans="1:13" x14ac:dyDescent="0.3">
      <c r="A445" t="s">
        <v>688</v>
      </c>
      <c r="B445" s="2">
        <v>46047</v>
      </c>
      <c r="C445" t="s">
        <v>210</v>
      </c>
      <c r="D445" t="s">
        <v>101</v>
      </c>
      <c r="E445" t="s">
        <v>36</v>
      </c>
      <c r="F445" t="s">
        <v>190</v>
      </c>
      <c r="G445" t="s">
        <v>55</v>
      </c>
      <c r="H445">
        <v>2</v>
      </c>
      <c r="I445">
        <v>2200</v>
      </c>
      <c r="J445">
        <v>0</v>
      </c>
      <c r="K445" t="s">
        <v>19</v>
      </c>
      <c r="L445" t="s">
        <v>20</v>
      </c>
      <c r="M445">
        <v>4</v>
      </c>
    </row>
    <row r="446" spans="1:13" x14ac:dyDescent="0.3">
      <c r="A446" t="s">
        <v>689</v>
      </c>
      <c r="B446" s="2">
        <v>46068</v>
      </c>
      <c r="C446" t="s">
        <v>108</v>
      </c>
      <c r="D446" t="s">
        <v>109</v>
      </c>
      <c r="E446" t="s">
        <v>24</v>
      </c>
      <c r="F446" t="s">
        <v>90</v>
      </c>
      <c r="G446" t="s">
        <v>18</v>
      </c>
      <c r="H446">
        <v>1</v>
      </c>
      <c r="I446">
        <v>13751</v>
      </c>
      <c r="J446">
        <v>25</v>
      </c>
      <c r="K446" t="s">
        <v>19</v>
      </c>
      <c r="L446" t="s">
        <v>20</v>
      </c>
      <c r="M446">
        <v>5</v>
      </c>
    </row>
    <row r="447" spans="1:13" x14ac:dyDescent="0.3">
      <c r="A447" t="s">
        <v>690</v>
      </c>
      <c r="B447" s="2">
        <v>46170</v>
      </c>
      <c r="C447" t="s">
        <v>470</v>
      </c>
      <c r="D447" t="s">
        <v>184</v>
      </c>
      <c r="E447" t="s">
        <v>36</v>
      </c>
      <c r="F447" t="s">
        <v>25</v>
      </c>
      <c r="G447" t="s">
        <v>26</v>
      </c>
      <c r="H447">
        <v>1</v>
      </c>
      <c r="I447">
        <v>709</v>
      </c>
      <c r="J447">
        <v>10</v>
      </c>
      <c r="K447" t="s">
        <v>91</v>
      </c>
      <c r="L447" t="s">
        <v>20</v>
      </c>
      <c r="M447">
        <v>1</v>
      </c>
    </row>
    <row r="448" spans="1:13" x14ac:dyDescent="0.3">
      <c r="A448" t="s">
        <v>691</v>
      </c>
      <c r="B448" s="2">
        <v>46057</v>
      </c>
      <c r="C448" t="s">
        <v>151</v>
      </c>
      <c r="D448" t="s">
        <v>98</v>
      </c>
      <c r="E448" t="s">
        <v>31</v>
      </c>
      <c r="F448" t="s">
        <v>135</v>
      </c>
      <c r="G448" t="s">
        <v>50</v>
      </c>
      <c r="H448">
        <v>1</v>
      </c>
      <c r="I448">
        <v>1103</v>
      </c>
      <c r="J448">
        <v>10</v>
      </c>
      <c r="K448" t="s">
        <v>56</v>
      </c>
      <c r="L448" t="s">
        <v>20</v>
      </c>
      <c r="M448">
        <v>2</v>
      </c>
    </row>
    <row r="449" spans="1:13" x14ac:dyDescent="0.3">
      <c r="A449" t="s">
        <v>692</v>
      </c>
      <c r="B449" s="2">
        <v>46104</v>
      </c>
      <c r="C449" t="s">
        <v>79</v>
      </c>
      <c r="D449" t="s">
        <v>80</v>
      </c>
      <c r="E449" t="s">
        <v>16</v>
      </c>
      <c r="F449" t="s">
        <v>190</v>
      </c>
      <c r="G449" t="s">
        <v>55</v>
      </c>
      <c r="H449">
        <v>1</v>
      </c>
      <c r="I449">
        <v>3100</v>
      </c>
      <c r="J449">
        <v>10</v>
      </c>
      <c r="K449" t="s">
        <v>19</v>
      </c>
      <c r="L449" t="s">
        <v>20</v>
      </c>
      <c r="M449">
        <v>4</v>
      </c>
    </row>
    <row r="450" spans="1:13" x14ac:dyDescent="0.3">
      <c r="A450" t="s">
        <v>693</v>
      </c>
      <c r="B450" s="2">
        <v>46099</v>
      </c>
      <c r="C450" t="s">
        <v>235</v>
      </c>
      <c r="D450" t="s">
        <v>109</v>
      </c>
      <c r="E450" t="s">
        <v>117</v>
      </c>
      <c r="F450" t="s">
        <v>141</v>
      </c>
      <c r="G450" t="s">
        <v>50</v>
      </c>
      <c r="H450">
        <v>2</v>
      </c>
      <c r="I450">
        <v>1395</v>
      </c>
      <c r="J450">
        <v>25</v>
      </c>
      <c r="K450" t="s">
        <v>19</v>
      </c>
      <c r="L450" t="s">
        <v>20</v>
      </c>
      <c r="M450">
        <v>6</v>
      </c>
    </row>
    <row r="451" spans="1:13" x14ac:dyDescent="0.3">
      <c r="A451" t="s">
        <v>694</v>
      </c>
      <c r="B451" s="2">
        <v>46048</v>
      </c>
      <c r="C451" t="s">
        <v>422</v>
      </c>
      <c r="D451" t="s">
        <v>184</v>
      </c>
      <c r="E451" t="s">
        <v>65</v>
      </c>
      <c r="F451" t="s">
        <v>72</v>
      </c>
      <c r="G451" t="s">
        <v>45</v>
      </c>
      <c r="H451">
        <v>1</v>
      </c>
      <c r="I451">
        <v>400</v>
      </c>
      <c r="J451">
        <v>10</v>
      </c>
      <c r="K451" t="s">
        <v>27</v>
      </c>
      <c r="L451" t="s">
        <v>20</v>
      </c>
      <c r="M451">
        <v>3</v>
      </c>
    </row>
    <row r="452" spans="1:13" x14ac:dyDescent="0.3">
      <c r="A452" t="s">
        <v>695</v>
      </c>
      <c r="B452" s="2">
        <v>46171</v>
      </c>
      <c r="C452" t="s">
        <v>285</v>
      </c>
      <c r="D452" t="s">
        <v>15</v>
      </c>
      <c r="E452" t="s">
        <v>40</v>
      </c>
      <c r="F452" t="s">
        <v>135</v>
      </c>
      <c r="G452" t="s">
        <v>50</v>
      </c>
      <c r="H452">
        <v>1</v>
      </c>
      <c r="I452">
        <v>1103</v>
      </c>
      <c r="J452">
        <v>15</v>
      </c>
      <c r="K452" t="s">
        <v>19</v>
      </c>
      <c r="L452" t="s">
        <v>20</v>
      </c>
      <c r="M452">
        <v>1</v>
      </c>
    </row>
    <row r="453" spans="1:13" x14ac:dyDescent="0.3">
      <c r="A453" t="s">
        <v>696</v>
      </c>
      <c r="B453" s="2">
        <v>46198</v>
      </c>
      <c r="C453" t="s">
        <v>160</v>
      </c>
      <c r="D453" t="s">
        <v>161</v>
      </c>
      <c r="E453" t="s">
        <v>117</v>
      </c>
      <c r="F453" t="s">
        <v>127</v>
      </c>
      <c r="G453" t="s">
        <v>55</v>
      </c>
      <c r="H453">
        <v>1</v>
      </c>
      <c r="I453">
        <v>2500</v>
      </c>
      <c r="J453">
        <v>15</v>
      </c>
      <c r="K453" t="s">
        <v>56</v>
      </c>
      <c r="L453" t="s">
        <v>20</v>
      </c>
      <c r="M453">
        <v>3</v>
      </c>
    </row>
    <row r="454" spans="1:13" x14ac:dyDescent="0.3">
      <c r="A454" t="s">
        <v>697</v>
      </c>
      <c r="B454" s="2">
        <v>46139</v>
      </c>
      <c r="C454" t="s">
        <v>212</v>
      </c>
      <c r="D454" t="s">
        <v>94</v>
      </c>
      <c r="E454" t="s">
        <v>36</v>
      </c>
      <c r="F454" t="s">
        <v>82</v>
      </c>
      <c r="G454" t="s">
        <v>50</v>
      </c>
      <c r="H454">
        <v>1</v>
      </c>
      <c r="I454">
        <v>2052</v>
      </c>
      <c r="J454">
        <v>5</v>
      </c>
      <c r="K454" t="s">
        <v>56</v>
      </c>
      <c r="L454" t="s">
        <v>20</v>
      </c>
      <c r="M454">
        <v>3</v>
      </c>
    </row>
    <row r="455" spans="1:13" x14ac:dyDescent="0.3">
      <c r="A455" t="s">
        <v>698</v>
      </c>
      <c r="B455" s="2">
        <v>46195</v>
      </c>
      <c r="C455" t="s">
        <v>475</v>
      </c>
      <c r="D455" t="s">
        <v>53</v>
      </c>
      <c r="E455" t="s">
        <v>31</v>
      </c>
      <c r="F455" t="s">
        <v>213</v>
      </c>
      <c r="G455" t="s">
        <v>18</v>
      </c>
      <c r="H455">
        <v>1</v>
      </c>
      <c r="I455">
        <v>40646</v>
      </c>
      <c r="J455">
        <v>0</v>
      </c>
      <c r="K455" t="s">
        <v>19</v>
      </c>
      <c r="L455" t="s">
        <v>20</v>
      </c>
      <c r="M455">
        <v>2</v>
      </c>
    </row>
    <row r="456" spans="1:13" x14ac:dyDescent="0.3">
      <c r="A456" t="s">
        <v>699</v>
      </c>
      <c r="B456" s="2">
        <v>46023</v>
      </c>
      <c r="C456" t="s">
        <v>108</v>
      </c>
      <c r="D456" t="s">
        <v>109</v>
      </c>
      <c r="E456" t="s">
        <v>36</v>
      </c>
      <c r="F456" t="s">
        <v>32</v>
      </c>
      <c r="G456" t="s">
        <v>18</v>
      </c>
      <c r="H456">
        <v>1</v>
      </c>
      <c r="I456">
        <v>53197</v>
      </c>
      <c r="J456">
        <v>20</v>
      </c>
      <c r="K456" t="s">
        <v>27</v>
      </c>
      <c r="L456" t="s">
        <v>20</v>
      </c>
      <c r="M456">
        <v>3</v>
      </c>
    </row>
    <row r="457" spans="1:13" x14ac:dyDescent="0.3">
      <c r="A457" t="s">
        <v>700</v>
      </c>
      <c r="B457" s="2">
        <v>46038</v>
      </c>
      <c r="C457" t="s">
        <v>554</v>
      </c>
      <c r="D457" t="s">
        <v>161</v>
      </c>
      <c r="E457" t="s">
        <v>31</v>
      </c>
      <c r="F457" t="s">
        <v>124</v>
      </c>
      <c r="G457" t="s">
        <v>55</v>
      </c>
      <c r="H457">
        <v>1</v>
      </c>
      <c r="I457">
        <v>2300</v>
      </c>
      <c r="J457">
        <v>0</v>
      </c>
      <c r="K457" t="s">
        <v>56</v>
      </c>
      <c r="L457" t="s">
        <v>20</v>
      </c>
      <c r="M457">
        <v>7</v>
      </c>
    </row>
    <row r="458" spans="1:13" x14ac:dyDescent="0.3">
      <c r="A458" t="s">
        <v>701</v>
      </c>
      <c r="B458" s="2">
        <v>46144</v>
      </c>
      <c r="C458" t="s">
        <v>702</v>
      </c>
      <c r="D458" t="s">
        <v>101</v>
      </c>
      <c r="E458" t="s">
        <v>36</v>
      </c>
      <c r="F458" t="s">
        <v>383</v>
      </c>
      <c r="G458" t="s">
        <v>26</v>
      </c>
      <c r="H458">
        <v>2</v>
      </c>
      <c r="I458">
        <v>556</v>
      </c>
      <c r="J458">
        <v>15</v>
      </c>
      <c r="K458" t="s">
        <v>56</v>
      </c>
      <c r="L458" t="s">
        <v>20</v>
      </c>
      <c r="M458">
        <v>1</v>
      </c>
    </row>
    <row r="459" spans="1:13" x14ac:dyDescent="0.3">
      <c r="A459" t="s">
        <v>703</v>
      </c>
      <c r="B459" s="2">
        <v>46147</v>
      </c>
      <c r="C459" t="s">
        <v>355</v>
      </c>
      <c r="D459" t="s">
        <v>43</v>
      </c>
      <c r="E459" t="s">
        <v>16</v>
      </c>
      <c r="F459" t="s">
        <v>156</v>
      </c>
      <c r="G459" t="s">
        <v>18</v>
      </c>
      <c r="H459">
        <v>2</v>
      </c>
      <c r="I459">
        <v>22716</v>
      </c>
      <c r="J459">
        <v>20</v>
      </c>
      <c r="K459" t="s">
        <v>19</v>
      </c>
      <c r="L459" t="s">
        <v>20</v>
      </c>
      <c r="M459">
        <v>3</v>
      </c>
    </row>
    <row r="460" spans="1:13" x14ac:dyDescent="0.3">
      <c r="A460" t="s">
        <v>704</v>
      </c>
      <c r="B460" s="2">
        <v>46101</v>
      </c>
      <c r="C460" t="s">
        <v>228</v>
      </c>
      <c r="D460" t="s">
        <v>15</v>
      </c>
      <c r="E460" t="s">
        <v>81</v>
      </c>
      <c r="F460" t="s">
        <v>135</v>
      </c>
      <c r="G460" t="s">
        <v>50</v>
      </c>
      <c r="H460">
        <v>4</v>
      </c>
      <c r="I460">
        <v>519</v>
      </c>
      <c r="J460">
        <v>15</v>
      </c>
      <c r="K460" t="s">
        <v>19</v>
      </c>
      <c r="L460" t="s">
        <v>20</v>
      </c>
      <c r="M460">
        <v>5</v>
      </c>
    </row>
    <row r="461" spans="1:13" x14ac:dyDescent="0.3">
      <c r="A461" t="s">
        <v>705</v>
      </c>
      <c r="B461" s="2">
        <v>46031</v>
      </c>
      <c r="C461" t="s">
        <v>215</v>
      </c>
      <c r="D461" t="s">
        <v>43</v>
      </c>
      <c r="E461" t="s">
        <v>36</v>
      </c>
      <c r="F461" t="s">
        <v>17</v>
      </c>
      <c r="G461" t="s">
        <v>18</v>
      </c>
      <c r="H461">
        <v>1</v>
      </c>
      <c r="I461">
        <v>51404</v>
      </c>
      <c r="J461">
        <v>5</v>
      </c>
      <c r="K461" t="s">
        <v>19</v>
      </c>
      <c r="L461" t="s">
        <v>20</v>
      </c>
      <c r="M461">
        <v>6</v>
      </c>
    </row>
    <row r="462" spans="1:13" x14ac:dyDescent="0.3">
      <c r="A462" t="s">
        <v>706</v>
      </c>
      <c r="B462" s="2">
        <v>46045</v>
      </c>
      <c r="C462" t="s">
        <v>318</v>
      </c>
      <c r="D462" t="s">
        <v>30</v>
      </c>
      <c r="E462" t="s">
        <v>117</v>
      </c>
      <c r="F462" t="s">
        <v>113</v>
      </c>
      <c r="G462" t="s">
        <v>26</v>
      </c>
      <c r="H462">
        <v>1</v>
      </c>
      <c r="I462">
        <v>1372</v>
      </c>
      <c r="J462">
        <v>5</v>
      </c>
      <c r="K462" t="s">
        <v>56</v>
      </c>
      <c r="L462" t="s">
        <v>20</v>
      </c>
      <c r="M462">
        <v>3</v>
      </c>
    </row>
    <row r="463" spans="1:13" x14ac:dyDescent="0.3">
      <c r="A463" t="s">
        <v>707</v>
      </c>
      <c r="B463" s="2">
        <v>46200</v>
      </c>
      <c r="C463" t="s">
        <v>67</v>
      </c>
      <c r="D463" t="s">
        <v>53</v>
      </c>
      <c r="E463" t="s">
        <v>31</v>
      </c>
      <c r="F463" t="s">
        <v>17</v>
      </c>
      <c r="G463" t="s">
        <v>18</v>
      </c>
      <c r="H463">
        <v>3</v>
      </c>
      <c r="I463">
        <v>2993</v>
      </c>
      <c r="J463">
        <v>5</v>
      </c>
      <c r="K463" t="s">
        <v>27</v>
      </c>
      <c r="L463" t="s">
        <v>20</v>
      </c>
      <c r="M463">
        <v>2</v>
      </c>
    </row>
    <row r="464" spans="1:13" x14ac:dyDescent="0.3">
      <c r="A464" t="s">
        <v>708</v>
      </c>
      <c r="B464" s="2">
        <v>46140</v>
      </c>
      <c r="C464" t="s">
        <v>210</v>
      </c>
      <c r="D464" t="s">
        <v>101</v>
      </c>
      <c r="E464" t="s">
        <v>31</v>
      </c>
      <c r="F464" t="s">
        <v>62</v>
      </c>
      <c r="G464" t="s">
        <v>50</v>
      </c>
      <c r="H464">
        <v>1</v>
      </c>
      <c r="I464">
        <v>2271</v>
      </c>
      <c r="J464">
        <v>0</v>
      </c>
      <c r="K464" t="s">
        <v>56</v>
      </c>
      <c r="L464" t="s">
        <v>46</v>
      </c>
      <c r="M464">
        <v>0</v>
      </c>
    </row>
    <row r="465" spans="1:13" x14ac:dyDescent="0.3">
      <c r="A465" t="s">
        <v>709</v>
      </c>
      <c r="B465" s="2">
        <v>46037</v>
      </c>
      <c r="C465" t="s">
        <v>189</v>
      </c>
      <c r="D465" t="s">
        <v>30</v>
      </c>
      <c r="E465" t="s">
        <v>81</v>
      </c>
      <c r="F465" t="s">
        <v>72</v>
      </c>
      <c r="G465" t="s">
        <v>45</v>
      </c>
      <c r="H465">
        <v>3</v>
      </c>
      <c r="I465">
        <v>1050</v>
      </c>
      <c r="J465">
        <v>5</v>
      </c>
      <c r="K465" t="s">
        <v>19</v>
      </c>
      <c r="L465" t="s">
        <v>20</v>
      </c>
      <c r="M465">
        <v>1</v>
      </c>
    </row>
    <row r="466" spans="1:13" x14ac:dyDescent="0.3">
      <c r="A466" t="s">
        <v>710</v>
      </c>
      <c r="B466" s="2">
        <v>46201</v>
      </c>
      <c r="C466" t="s">
        <v>370</v>
      </c>
      <c r="D466" t="s">
        <v>231</v>
      </c>
      <c r="E466" t="s">
        <v>31</v>
      </c>
      <c r="F466" t="s">
        <v>190</v>
      </c>
      <c r="G466" t="s">
        <v>55</v>
      </c>
      <c r="H466">
        <v>2</v>
      </c>
      <c r="I466">
        <v>2300</v>
      </c>
      <c r="J466">
        <v>5</v>
      </c>
      <c r="K466" t="s">
        <v>56</v>
      </c>
      <c r="L466" t="s">
        <v>20</v>
      </c>
      <c r="M466">
        <v>4</v>
      </c>
    </row>
    <row r="467" spans="1:13" x14ac:dyDescent="0.3">
      <c r="A467" t="s">
        <v>711</v>
      </c>
      <c r="B467" s="2">
        <v>46168</v>
      </c>
      <c r="C467" t="s">
        <v>372</v>
      </c>
      <c r="D467" t="s">
        <v>101</v>
      </c>
      <c r="E467" t="s">
        <v>24</v>
      </c>
      <c r="F467" t="s">
        <v>49</v>
      </c>
      <c r="G467" t="s">
        <v>50</v>
      </c>
      <c r="H467">
        <v>1</v>
      </c>
      <c r="I467">
        <v>1906</v>
      </c>
      <c r="J467">
        <v>10</v>
      </c>
      <c r="K467" t="s">
        <v>27</v>
      </c>
      <c r="L467" t="s">
        <v>20</v>
      </c>
      <c r="M467">
        <v>4</v>
      </c>
    </row>
    <row r="468" spans="1:13" x14ac:dyDescent="0.3">
      <c r="A468" t="s">
        <v>712</v>
      </c>
      <c r="B468" s="2">
        <v>46153</v>
      </c>
      <c r="C468" t="s">
        <v>205</v>
      </c>
      <c r="D468" t="s">
        <v>98</v>
      </c>
      <c r="E468" t="s">
        <v>36</v>
      </c>
      <c r="F468" t="s">
        <v>213</v>
      </c>
      <c r="G468" t="s">
        <v>18</v>
      </c>
      <c r="H468">
        <v>1</v>
      </c>
      <c r="I468">
        <v>46025</v>
      </c>
      <c r="J468">
        <v>10</v>
      </c>
      <c r="K468" t="s">
        <v>19</v>
      </c>
      <c r="L468" t="s">
        <v>46</v>
      </c>
      <c r="M468">
        <v>0</v>
      </c>
    </row>
    <row r="469" spans="1:13" x14ac:dyDescent="0.3">
      <c r="A469" t="s">
        <v>713</v>
      </c>
      <c r="B469" s="2">
        <v>46042</v>
      </c>
      <c r="C469" t="s">
        <v>348</v>
      </c>
      <c r="D469" t="s">
        <v>35</v>
      </c>
      <c r="E469" t="s">
        <v>31</v>
      </c>
      <c r="F469" t="s">
        <v>68</v>
      </c>
      <c r="G469" t="s">
        <v>26</v>
      </c>
      <c r="H469">
        <v>2</v>
      </c>
      <c r="I469">
        <v>862</v>
      </c>
      <c r="J469">
        <v>15</v>
      </c>
      <c r="K469" t="s">
        <v>27</v>
      </c>
      <c r="L469" t="s">
        <v>20</v>
      </c>
      <c r="M469">
        <v>2</v>
      </c>
    </row>
    <row r="470" spans="1:13" x14ac:dyDescent="0.3">
      <c r="A470" t="s">
        <v>714</v>
      </c>
      <c r="B470" s="2">
        <v>46029</v>
      </c>
      <c r="C470" t="s">
        <v>202</v>
      </c>
      <c r="D470" t="s">
        <v>109</v>
      </c>
      <c r="E470" t="s">
        <v>81</v>
      </c>
      <c r="F470" t="s">
        <v>190</v>
      </c>
      <c r="G470" t="s">
        <v>55</v>
      </c>
      <c r="H470">
        <v>1</v>
      </c>
      <c r="I470">
        <v>2700</v>
      </c>
      <c r="J470">
        <v>15</v>
      </c>
      <c r="K470" t="s">
        <v>27</v>
      </c>
      <c r="L470" t="s">
        <v>20</v>
      </c>
      <c r="M470">
        <v>5</v>
      </c>
    </row>
    <row r="471" spans="1:13" x14ac:dyDescent="0.3">
      <c r="A471" t="s">
        <v>715</v>
      </c>
      <c r="B471" s="2">
        <v>46149</v>
      </c>
      <c r="C471" t="s">
        <v>464</v>
      </c>
      <c r="D471" t="s">
        <v>149</v>
      </c>
      <c r="E471" t="s">
        <v>40</v>
      </c>
      <c r="F471" t="s">
        <v>383</v>
      </c>
      <c r="G471" t="s">
        <v>26</v>
      </c>
      <c r="H471">
        <v>3</v>
      </c>
      <c r="I471">
        <v>1219</v>
      </c>
      <c r="J471">
        <v>5</v>
      </c>
      <c r="K471" t="s">
        <v>27</v>
      </c>
      <c r="L471" t="s">
        <v>20</v>
      </c>
      <c r="M471">
        <v>1</v>
      </c>
    </row>
    <row r="472" spans="1:13" x14ac:dyDescent="0.3">
      <c r="A472" t="s">
        <v>716</v>
      </c>
      <c r="B472" s="2">
        <v>46072</v>
      </c>
      <c r="C472" t="s">
        <v>374</v>
      </c>
      <c r="D472" t="s">
        <v>109</v>
      </c>
      <c r="E472" t="s">
        <v>31</v>
      </c>
      <c r="F472" t="s">
        <v>54</v>
      </c>
      <c r="G472" t="s">
        <v>55</v>
      </c>
      <c r="H472">
        <v>2</v>
      </c>
      <c r="I472">
        <v>1900</v>
      </c>
      <c r="J472">
        <v>5</v>
      </c>
      <c r="K472" t="s">
        <v>27</v>
      </c>
      <c r="L472" t="s">
        <v>20</v>
      </c>
      <c r="M472">
        <v>4</v>
      </c>
    </row>
    <row r="473" spans="1:13" x14ac:dyDescent="0.3">
      <c r="A473" t="s">
        <v>717</v>
      </c>
      <c r="B473" s="2">
        <v>46120</v>
      </c>
      <c r="C473" t="s">
        <v>299</v>
      </c>
      <c r="D473" t="s">
        <v>98</v>
      </c>
      <c r="E473" t="s">
        <v>16</v>
      </c>
      <c r="F473" t="s">
        <v>190</v>
      </c>
      <c r="G473" t="s">
        <v>55</v>
      </c>
      <c r="H473">
        <v>1</v>
      </c>
      <c r="I473">
        <v>2100</v>
      </c>
      <c r="J473">
        <v>0</v>
      </c>
      <c r="K473" t="s">
        <v>19</v>
      </c>
      <c r="L473" t="s">
        <v>20</v>
      </c>
      <c r="M473">
        <v>4</v>
      </c>
    </row>
    <row r="474" spans="1:13" x14ac:dyDescent="0.3">
      <c r="A474" t="s">
        <v>718</v>
      </c>
      <c r="B474" s="2">
        <v>46175</v>
      </c>
      <c r="C474" t="s">
        <v>239</v>
      </c>
      <c r="D474" t="s">
        <v>149</v>
      </c>
      <c r="E474" t="s">
        <v>36</v>
      </c>
      <c r="F474" t="s">
        <v>44</v>
      </c>
      <c r="G474" t="s">
        <v>45</v>
      </c>
      <c r="H474">
        <v>1</v>
      </c>
      <c r="I474">
        <v>950</v>
      </c>
      <c r="J474">
        <v>20</v>
      </c>
      <c r="K474" t="s">
        <v>27</v>
      </c>
      <c r="L474" t="s">
        <v>20</v>
      </c>
      <c r="M474">
        <v>1</v>
      </c>
    </row>
    <row r="475" spans="1:13" x14ac:dyDescent="0.3">
      <c r="A475" t="s">
        <v>719</v>
      </c>
      <c r="B475" s="2">
        <v>46057</v>
      </c>
      <c r="C475" t="s">
        <v>432</v>
      </c>
      <c r="D475" t="s">
        <v>23</v>
      </c>
      <c r="E475" t="s">
        <v>65</v>
      </c>
      <c r="F475" t="s">
        <v>72</v>
      </c>
      <c r="G475" t="s">
        <v>45</v>
      </c>
      <c r="H475">
        <v>1</v>
      </c>
      <c r="I475">
        <v>650</v>
      </c>
      <c r="J475">
        <v>5</v>
      </c>
      <c r="K475" t="s">
        <v>56</v>
      </c>
      <c r="L475" t="s">
        <v>20</v>
      </c>
      <c r="M475">
        <v>3</v>
      </c>
    </row>
    <row r="476" spans="1:13" x14ac:dyDescent="0.3">
      <c r="A476" t="s">
        <v>720</v>
      </c>
      <c r="B476" s="2">
        <v>46091</v>
      </c>
      <c r="C476" t="s">
        <v>197</v>
      </c>
      <c r="D476" t="s">
        <v>43</v>
      </c>
      <c r="E476" t="s">
        <v>65</v>
      </c>
      <c r="F476" t="s">
        <v>127</v>
      </c>
      <c r="G476" t="s">
        <v>55</v>
      </c>
      <c r="H476">
        <v>1</v>
      </c>
      <c r="I476">
        <v>900</v>
      </c>
      <c r="J476">
        <v>5</v>
      </c>
      <c r="K476" t="s">
        <v>19</v>
      </c>
      <c r="L476" t="s">
        <v>20</v>
      </c>
      <c r="M476">
        <v>2</v>
      </c>
    </row>
    <row r="477" spans="1:13" x14ac:dyDescent="0.3">
      <c r="A477" t="s">
        <v>721</v>
      </c>
      <c r="B477" s="2">
        <v>46108</v>
      </c>
      <c r="C477" t="s">
        <v>406</v>
      </c>
      <c r="D477" t="s">
        <v>109</v>
      </c>
      <c r="E477" t="s">
        <v>16</v>
      </c>
      <c r="F477" t="s">
        <v>113</v>
      </c>
      <c r="G477" t="s">
        <v>26</v>
      </c>
      <c r="H477">
        <v>2</v>
      </c>
      <c r="I477">
        <v>505</v>
      </c>
      <c r="J477">
        <v>20</v>
      </c>
      <c r="K477" t="s">
        <v>56</v>
      </c>
      <c r="L477" t="s">
        <v>20</v>
      </c>
      <c r="M477">
        <v>1</v>
      </c>
    </row>
    <row r="478" spans="1:13" x14ac:dyDescent="0.3">
      <c r="A478" t="s">
        <v>722</v>
      </c>
      <c r="B478" s="2">
        <v>46104</v>
      </c>
      <c r="C478" t="s">
        <v>723</v>
      </c>
      <c r="D478" t="s">
        <v>94</v>
      </c>
      <c r="E478" t="s">
        <v>36</v>
      </c>
      <c r="F478" t="s">
        <v>68</v>
      </c>
      <c r="G478" t="s">
        <v>26</v>
      </c>
      <c r="H478">
        <v>1</v>
      </c>
      <c r="I478">
        <v>1627</v>
      </c>
      <c r="J478">
        <v>15</v>
      </c>
      <c r="K478" t="s">
        <v>56</v>
      </c>
      <c r="L478" t="s">
        <v>20</v>
      </c>
      <c r="M478">
        <v>4</v>
      </c>
    </row>
    <row r="479" spans="1:13" x14ac:dyDescent="0.3">
      <c r="A479" t="s">
        <v>724</v>
      </c>
      <c r="B479" s="2">
        <v>46109</v>
      </c>
      <c r="C479" t="s">
        <v>254</v>
      </c>
      <c r="D479" t="s">
        <v>39</v>
      </c>
      <c r="E479" t="s">
        <v>81</v>
      </c>
      <c r="F479" t="s">
        <v>127</v>
      </c>
      <c r="G479" t="s">
        <v>55</v>
      </c>
      <c r="H479">
        <v>1</v>
      </c>
      <c r="I479">
        <v>1700</v>
      </c>
      <c r="J479">
        <v>10</v>
      </c>
      <c r="K479" t="s">
        <v>56</v>
      </c>
      <c r="L479" t="s">
        <v>20</v>
      </c>
      <c r="M479">
        <v>5</v>
      </c>
    </row>
    <row r="480" spans="1:13" x14ac:dyDescent="0.3">
      <c r="A480" t="s">
        <v>725</v>
      </c>
      <c r="B480" s="2">
        <v>46173</v>
      </c>
      <c r="C480" t="s">
        <v>305</v>
      </c>
      <c r="D480" t="s">
        <v>15</v>
      </c>
      <c r="E480" t="s">
        <v>81</v>
      </c>
      <c r="F480" t="s">
        <v>90</v>
      </c>
      <c r="G480" t="s">
        <v>18</v>
      </c>
      <c r="H480">
        <v>1</v>
      </c>
      <c r="I480">
        <v>46025</v>
      </c>
      <c r="J480">
        <v>15</v>
      </c>
      <c r="K480" t="s">
        <v>19</v>
      </c>
      <c r="L480" t="s">
        <v>20</v>
      </c>
      <c r="M480">
        <v>4</v>
      </c>
    </row>
    <row r="481" spans="1:13" x14ac:dyDescent="0.3">
      <c r="A481" t="s">
        <v>726</v>
      </c>
      <c r="B481" s="2">
        <v>46090</v>
      </c>
      <c r="C481" t="s">
        <v>205</v>
      </c>
      <c r="D481" t="s">
        <v>98</v>
      </c>
      <c r="E481" t="s">
        <v>24</v>
      </c>
      <c r="F481" t="s">
        <v>85</v>
      </c>
      <c r="G481" t="s">
        <v>45</v>
      </c>
      <c r="H481">
        <v>1</v>
      </c>
      <c r="I481">
        <v>1150</v>
      </c>
      <c r="J481">
        <v>20</v>
      </c>
      <c r="K481" t="s">
        <v>19</v>
      </c>
      <c r="L481" t="s">
        <v>46</v>
      </c>
      <c r="M481">
        <v>0</v>
      </c>
    </row>
    <row r="482" spans="1:13" x14ac:dyDescent="0.3">
      <c r="A482" t="s">
        <v>727</v>
      </c>
      <c r="B482" s="2">
        <v>46150</v>
      </c>
      <c r="C482" t="s">
        <v>97</v>
      </c>
      <c r="D482" t="s">
        <v>98</v>
      </c>
      <c r="E482" t="s">
        <v>65</v>
      </c>
      <c r="F482" t="s">
        <v>156</v>
      </c>
      <c r="G482" t="s">
        <v>18</v>
      </c>
      <c r="H482">
        <v>1</v>
      </c>
      <c r="I482">
        <v>38853</v>
      </c>
      <c r="J482">
        <v>5</v>
      </c>
      <c r="K482" t="s">
        <v>19</v>
      </c>
      <c r="L482" t="s">
        <v>20</v>
      </c>
      <c r="M482">
        <v>1</v>
      </c>
    </row>
    <row r="483" spans="1:13" x14ac:dyDescent="0.3">
      <c r="A483" t="s">
        <v>728</v>
      </c>
      <c r="B483" s="2">
        <v>46084</v>
      </c>
      <c r="C483" t="s">
        <v>148</v>
      </c>
      <c r="D483" t="s">
        <v>149</v>
      </c>
      <c r="E483" t="s">
        <v>31</v>
      </c>
      <c r="F483" t="s">
        <v>122</v>
      </c>
      <c r="G483" t="s">
        <v>45</v>
      </c>
      <c r="H483">
        <v>1</v>
      </c>
      <c r="I483">
        <v>1050</v>
      </c>
      <c r="J483">
        <v>0</v>
      </c>
      <c r="K483" t="s">
        <v>91</v>
      </c>
      <c r="L483" t="s">
        <v>20</v>
      </c>
      <c r="M483">
        <v>2</v>
      </c>
    </row>
    <row r="484" spans="1:13" x14ac:dyDescent="0.3">
      <c r="A484" t="s">
        <v>729</v>
      </c>
      <c r="B484" s="2">
        <v>46039</v>
      </c>
      <c r="C484" t="s">
        <v>260</v>
      </c>
      <c r="D484" t="s">
        <v>61</v>
      </c>
      <c r="E484" t="s">
        <v>31</v>
      </c>
      <c r="F484" t="s">
        <v>62</v>
      </c>
      <c r="G484" t="s">
        <v>50</v>
      </c>
      <c r="H484">
        <v>1</v>
      </c>
      <c r="I484">
        <v>1979</v>
      </c>
      <c r="J484">
        <v>5</v>
      </c>
      <c r="K484" t="s">
        <v>19</v>
      </c>
      <c r="L484" t="s">
        <v>20</v>
      </c>
      <c r="M484">
        <v>6</v>
      </c>
    </row>
    <row r="485" spans="1:13" x14ac:dyDescent="0.3">
      <c r="A485" t="s">
        <v>730</v>
      </c>
      <c r="B485" s="2">
        <v>46145</v>
      </c>
      <c r="C485" t="s">
        <v>52</v>
      </c>
      <c r="D485" t="s">
        <v>53</v>
      </c>
      <c r="E485" t="s">
        <v>65</v>
      </c>
      <c r="F485" t="s">
        <v>32</v>
      </c>
      <c r="G485" t="s">
        <v>18</v>
      </c>
      <c r="H485">
        <v>2</v>
      </c>
      <c r="I485">
        <v>1200</v>
      </c>
      <c r="J485">
        <v>10</v>
      </c>
      <c r="K485" t="s">
        <v>19</v>
      </c>
      <c r="L485" t="s">
        <v>20</v>
      </c>
      <c r="M485">
        <v>3</v>
      </c>
    </row>
    <row r="486" spans="1:13" x14ac:dyDescent="0.3">
      <c r="A486" t="s">
        <v>731</v>
      </c>
      <c r="B486" s="2">
        <v>46194</v>
      </c>
      <c r="C486" t="s">
        <v>224</v>
      </c>
      <c r="D486" t="s">
        <v>161</v>
      </c>
      <c r="E486" t="s">
        <v>117</v>
      </c>
      <c r="F486" t="s">
        <v>82</v>
      </c>
      <c r="G486" t="s">
        <v>50</v>
      </c>
      <c r="H486">
        <v>3</v>
      </c>
      <c r="I486">
        <v>1249</v>
      </c>
      <c r="J486">
        <v>15</v>
      </c>
      <c r="K486" t="s">
        <v>27</v>
      </c>
      <c r="L486" t="s">
        <v>20</v>
      </c>
      <c r="M486">
        <v>2</v>
      </c>
    </row>
    <row r="487" spans="1:13" x14ac:dyDescent="0.3">
      <c r="A487" t="s">
        <v>732</v>
      </c>
      <c r="B487" s="2">
        <v>46162</v>
      </c>
      <c r="C487" t="s">
        <v>733</v>
      </c>
      <c r="D487" t="s">
        <v>109</v>
      </c>
      <c r="E487" t="s">
        <v>16</v>
      </c>
      <c r="F487" t="s">
        <v>88</v>
      </c>
      <c r="G487" t="s">
        <v>26</v>
      </c>
      <c r="H487">
        <v>1</v>
      </c>
      <c r="I487">
        <v>250</v>
      </c>
      <c r="J487">
        <v>10</v>
      </c>
      <c r="K487" t="s">
        <v>19</v>
      </c>
      <c r="L487" t="s">
        <v>20</v>
      </c>
      <c r="M487">
        <v>3</v>
      </c>
    </row>
    <row r="488" spans="1:13" x14ac:dyDescent="0.3">
      <c r="A488" t="s">
        <v>734</v>
      </c>
      <c r="B488" s="2">
        <v>46119</v>
      </c>
      <c r="C488" t="s">
        <v>422</v>
      </c>
      <c r="D488" t="s">
        <v>184</v>
      </c>
      <c r="E488" t="s">
        <v>36</v>
      </c>
      <c r="F488" t="s">
        <v>190</v>
      </c>
      <c r="G488" t="s">
        <v>55</v>
      </c>
      <c r="H488">
        <v>1</v>
      </c>
      <c r="I488">
        <v>3100</v>
      </c>
      <c r="J488">
        <v>0</v>
      </c>
      <c r="K488" t="s">
        <v>19</v>
      </c>
      <c r="L488" t="s">
        <v>20</v>
      </c>
      <c r="M488">
        <v>4</v>
      </c>
    </row>
    <row r="489" spans="1:13" x14ac:dyDescent="0.3">
      <c r="A489" t="s">
        <v>735</v>
      </c>
      <c r="B489" s="2">
        <v>46060</v>
      </c>
      <c r="C489" t="s">
        <v>145</v>
      </c>
      <c r="D489" t="s">
        <v>30</v>
      </c>
      <c r="E489" t="s">
        <v>31</v>
      </c>
      <c r="F489" t="s">
        <v>25</v>
      </c>
      <c r="G489" t="s">
        <v>26</v>
      </c>
      <c r="H489">
        <v>1</v>
      </c>
      <c r="I489">
        <v>352</v>
      </c>
      <c r="J489">
        <v>0</v>
      </c>
      <c r="K489" t="s">
        <v>19</v>
      </c>
      <c r="L489" t="s">
        <v>46</v>
      </c>
      <c r="M489">
        <v>0</v>
      </c>
    </row>
    <row r="490" spans="1:13" x14ac:dyDescent="0.3">
      <c r="A490" t="s">
        <v>736</v>
      </c>
      <c r="B490" s="2">
        <v>46093</v>
      </c>
      <c r="C490" t="s">
        <v>487</v>
      </c>
      <c r="D490" t="s">
        <v>116</v>
      </c>
      <c r="E490" t="s">
        <v>65</v>
      </c>
      <c r="F490" t="s">
        <v>82</v>
      </c>
      <c r="G490" t="s">
        <v>50</v>
      </c>
      <c r="H490">
        <v>1</v>
      </c>
      <c r="I490">
        <v>1030</v>
      </c>
      <c r="J490">
        <v>5</v>
      </c>
      <c r="K490" t="s">
        <v>19</v>
      </c>
      <c r="L490" t="s">
        <v>20</v>
      </c>
      <c r="M490">
        <v>4</v>
      </c>
    </row>
    <row r="491" spans="1:13" x14ac:dyDescent="0.3">
      <c r="A491" t="s">
        <v>737</v>
      </c>
      <c r="B491" s="2">
        <v>46032</v>
      </c>
      <c r="C491" t="s">
        <v>181</v>
      </c>
      <c r="D491" t="s">
        <v>61</v>
      </c>
      <c r="E491" t="s">
        <v>36</v>
      </c>
      <c r="F491" t="s">
        <v>141</v>
      </c>
      <c r="G491" t="s">
        <v>50</v>
      </c>
      <c r="H491">
        <v>1</v>
      </c>
      <c r="I491">
        <v>1760</v>
      </c>
      <c r="J491">
        <v>0</v>
      </c>
      <c r="K491" t="s">
        <v>19</v>
      </c>
      <c r="L491" t="s">
        <v>20</v>
      </c>
      <c r="M491">
        <v>5</v>
      </c>
    </row>
    <row r="492" spans="1:13" x14ac:dyDescent="0.3">
      <c r="A492" t="s">
        <v>738</v>
      </c>
      <c r="B492" s="2">
        <v>46063</v>
      </c>
      <c r="C492" t="s">
        <v>316</v>
      </c>
      <c r="D492" t="s">
        <v>94</v>
      </c>
      <c r="E492" t="s">
        <v>40</v>
      </c>
      <c r="F492" t="s">
        <v>88</v>
      </c>
      <c r="G492" t="s">
        <v>26</v>
      </c>
      <c r="H492">
        <v>1</v>
      </c>
      <c r="I492">
        <v>1066</v>
      </c>
      <c r="J492">
        <v>10</v>
      </c>
      <c r="K492" t="s">
        <v>27</v>
      </c>
      <c r="L492" t="s">
        <v>20</v>
      </c>
      <c r="M492">
        <v>1</v>
      </c>
    </row>
    <row r="493" spans="1:13" x14ac:dyDescent="0.3">
      <c r="A493" t="s">
        <v>739</v>
      </c>
      <c r="B493" s="2">
        <v>46035</v>
      </c>
      <c r="C493" t="s">
        <v>228</v>
      </c>
      <c r="D493" t="s">
        <v>15</v>
      </c>
      <c r="E493" t="s">
        <v>31</v>
      </c>
      <c r="F493" t="s">
        <v>82</v>
      </c>
      <c r="G493" t="s">
        <v>50</v>
      </c>
      <c r="H493">
        <v>2</v>
      </c>
      <c r="I493">
        <v>300</v>
      </c>
      <c r="J493">
        <v>15</v>
      </c>
      <c r="K493" t="s">
        <v>19</v>
      </c>
      <c r="L493" t="s">
        <v>20</v>
      </c>
      <c r="M493">
        <v>4</v>
      </c>
    </row>
    <row r="494" spans="1:13" x14ac:dyDescent="0.3">
      <c r="A494" t="s">
        <v>740</v>
      </c>
      <c r="B494" s="2">
        <v>46142</v>
      </c>
      <c r="C494" t="s">
        <v>111</v>
      </c>
      <c r="D494" t="s">
        <v>71</v>
      </c>
      <c r="E494" t="s">
        <v>117</v>
      </c>
      <c r="F494" t="s">
        <v>156</v>
      </c>
      <c r="G494" t="s">
        <v>18</v>
      </c>
      <c r="H494">
        <v>1</v>
      </c>
      <c r="I494">
        <v>2993</v>
      </c>
      <c r="J494">
        <v>5</v>
      </c>
      <c r="K494" t="s">
        <v>56</v>
      </c>
      <c r="L494" t="s">
        <v>20</v>
      </c>
      <c r="M494">
        <v>2</v>
      </c>
    </row>
    <row r="495" spans="1:13" x14ac:dyDescent="0.3">
      <c r="A495" t="s">
        <v>741</v>
      </c>
      <c r="B495" s="2">
        <v>46139</v>
      </c>
      <c r="C495" t="s">
        <v>160</v>
      </c>
      <c r="D495" t="s">
        <v>161</v>
      </c>
      <c r="E495" t="s">
        <v>117</v>
      </c>
      <c r="F495" t="s">
        <v>82</v>
      </c>
      <c r="G495" t="s">
        <v>50</v>
      </c>
      <c r="H495">
        <v>1</v>
      </c>
      <c r="I495">
        <v>1030</v>
      </c>
      <c r="J495">
        <v>5</v>
      </c>
      <c r="K495" t="s">
        <v>19</v>
      </c>
      <c r="L495" t="s">
        <v>20</v>
      </c>
      <c r="M495">
        <v>4</v>
      </c>
    </row>
    <row r="496" spans="1:13" x14ac:dyDescent="0.3">
      <c r="A496" t="s">
        <v>742</v>
      </c>
      <c r="B496" s="2">
        <v>46067</v>
      </c>
      <c r="C496" t="s">
        <v>441</v>
      </c>
      <c r="D496" t="s">
        <v>184</v>
      </c>
      <c r="E496" t="s">
        <v>31</v>
      </c>
      <c r="F496" t="s">
        <v>127</v>
      </c>
      <c r="G496" t="s">
        <v>55</v>
      </c>
      <c r="H496">
        <v>1</v>
      </c>
      <c r="I496">
        <v>3300</v>
      </c>
      <c r="J496">
        <v>25</v>
      </c>
      <c r="K496" t="s">
        <v>56</v>
      </c>
      <c r="L496" t="s">
        <v>20</v>
      </c>
      <c r="M496">
        <v>5</v>
      </c>
    </row>
    <row r="497" spans="1:13" x14ac:dyDescent="0.3">
      <c r="A497" t="s">
        <v>743</v>
      </c>
      <c r="B497" s="2">
        <v>46130</v>
      </c>
      <c r="C497" t="s">
        <v>248</v>
      </c>
      <c r="D497" t="s">
        <v>30</v>
      </c>
      <c r="E497" t="s">
        <v>36</v>
      </c>
      <c r="F497" t="s">
        <v>190</v>
      </c>
      <c r="G497" t="s">
        <v>55</v>
      </c>
      <c r="H497">
        <v>2</v>
      </c>
      <c r="I497">
        <v>900</v>
      </c>
      <c r="J497">
        <v>0</v>
      </c>
      <c r="K497" t="s">
        <v>27</v>
      </c>
      <c r="L497" t="s">
        <v>20</v>
      </c>
      <c r="M497">
        <v>5</v>
      </c>
    </row>
    <row r="498" spans="1:13" x14ac:dyDescent="0.3">
      <c r="A498" t="s">
        <v>744</v>
      </c>
      <c r="B498" s="2">
        <v>46064</v>
      </c>
      <c r="C498" t="s">
        <v>330</v>
      </c>
      <c r="D498" t="s">
        <v>231</v>
      </c>
      <c r="E498" t="s">
        <v>117</v>
      </c>
      <c r="F498" t="s">
        <v>190</v>
      </c>
      <c r="G498" t="s">
        <v>55</v>
      </c>
      <c r="H498">
        <v>1</v>
      </c>
      <c r="I498">
        <v>2100</v>
      </c>
      <c r="J498">
        <v>15</v>
      </c>
      <c r="K498" t="s">
        <v>56</v>
      </c>
      <c r="L498" t="s">
        <v>20</v>
      </c>
      <c r="M498">
        <v>3</v>
      </c>
    </row>
    <row r="499" spans="1:13" x14ac:dyDescent="0.3">
      <c r="A499" t="s">
        <v>745</v>
      </c>
      <c r="B499" s="2">
        <v>46122</v>
      </c>
      <c r="C499" t="s">
        <v>137</v>
      </c>
      <c r="D499" t="s">
        <v>71</v>
      </c>
      <c r="E499" t="s">
        <v>24</v>
      </c>
      <c r="F499" t="s">
        <v>141</v>
      </c>
      <c r="G499" t="s">
        <v>50</v>
      </c>
      <c r="H499">
        <v>1</v>
      </c>
      <c r="I499">
        <v>1395</v>
      </c>
      <c r="J499">
        <v>15</v>
      </c>
      <c r="K499" t="s">
        <v>27</v>
      </c>
      <c r="L499" t="s">
        <v>20</v>
      </c>
      <c r="M499">
        <v>3</v>
      </c>
    </row>
    <row r="500" spans="1:13" x14ac:dyDescent="0.3">
      <c r="A500" t="s">
        <v>746</v>
      </c>
      <c r="B500" s="2">
        <v>46114</v>
      </c>
      <c r="C500" t="s">
        <v>733</v>
      </c>
      <c r="D500" t="s">
        <v>109</v>
      </c>
      <c r="E500" t="s">
        <v>117</v>
      </c>
      <c r="F500" t="s">
        <v>127</v>
      </c>
      <c r="G500" t="s">
        <v>55</v>
      </c>
      <c r="H500">
        <v>1</v>
      </c>
      <c r="I500">
        <v>1800</v>
      </c>
      <c r="J500">
        <v>5</v>
      </c>
      <c r="K500" t="s">
        <v>19</v>
      </c>
      <c r="L500" t="s">
        <v>20</v>
      </c>
      <c r="M500">
        <v>4</v>
      </c>
    </row>
    <row r="501" spans="1:13" x14ac:dyDescent="0.3">
      <c r="A501" t="s">
        <v>747</v>
      </c>
      <c r="B501" s="2">
        <v>46085</v>
      </c>
      <c r="C501" t="s">
        <v>176</v>
      </c>
      <c r="D501" t="s">
        <v>39</v>
      </c>
      <c r="E501" t="s">
        <v>36</v>
      </c>
      <c r="F501" t="s">
        <v>82</v>
      </c>
      <c r="G501" t="s">
        <v>50</v>
      </c>
      <c r="H501">
        <v>1</v>
      </c>
      <c r="I501">
        <v>1030</v>
      </c>
      <c r="J501">
        <v>15</v>
      </c>
      <c r="K501" t="s">
        <v>19</v>
      </c>
      <c r="L501" t="s">
        <v>139</v>
      </c>
      <c r="M501">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C8B0-6FB3-436A-B0A9-55A5286B034A}">
  <dimension ref="A1:H117"/>
  <sheetViews>
    <sheetView workbookViewId="0">
      <selection activeCell="A3" sqref="A3:B8"/>
    </sheetView>
  </sheetViews>
  <sheetFormatPr defaultRowHeight="14.4" x14ac:dyDescent="0.3"/>
  <cols>
    <col min="1" max="1" width="16.109375" bestFit="1" customWidth="1"/>
    <col min="2" max="3" width="19.21875" bestFit="1" customWidth="1"/>
    <col min="4" max="4" width="16.109375" bestFit="1" customWidth="1"/>
    <col min="5" max="5" width="15.88671875" bestFit="1" customWidth="1"/>
    <col min="6" max="6" width="19.44140625" bestFit="1" customWidth="1"/>
    <col min="7" max="7" width="12.5546875" bestFit="1" customWidth="1"/>
    <col min="8" max="8" width="19.21875" bestFit="1" customWidth="1"/>
  </cols>
  <sheetData>
    <row r="1" spans="1:7" x14ac:dyDescent="0.3">
      <c r="A1" s="3" t="s">
        <v>782</v>
      </c>
    </row>
    <row r="3" spans="1:7" x14ac:dyDescent="0.3">
      <c r="A3" s="21" t="s">
        <v>783</v>
      </c>
      <c r="B3" t="s">
        <v>786</v>
      </c>
      <c r="G3" s="3"/>
    </row>
    <row r="4" spans="1:7" x14ac:dyDescent="0.3">
      <c r="A4" s="22" t="s">
        <v>26</v>
      </c>
      <c r="B4" s="20">
        <v>102602</v>
      </c>
      <c r="G4" s="3"/>
    </row>
    <row r="5" spans="1:7" x14ac:dyDescent="0.3">
      <c r="A5" s="22" t="s">
        <v>18</v>
      </c>
      <c r="B5" s="20">
        <v>5158708</v>
      </c>
    </row>
    <row r="6" spans="1:7" x14ac:dyDescent="0.3">
      <c r="A6" s="22" t="s">
        <v>55</v>
      </c>
      <c r="B6" s="20">
        <v>435300</v>
      </c>
    </row>
    <row r="7" spans="1:7" x14ac:dyDescent="0.3">
      <c r="A7" s="22" t="s">
        <v>45</v>
      </c>
      <c r="B7" s="20">
        <v>98100</v>
      </c>
    </row>
    <row r="8" spans="1:7" x14ac:dyDescent="0.3">
      <c r="A8" s="22" t="s">
        <v>50</v>
      </c>
      <c r="B8" s="20">
        <v>219234</v>
      </c>
    </row>
    <row r="9" spans="1:7" x14ac:dyDescent="0.3">
      <c r="A9" s="22" t="s">
        <v>784</v>
      </c>
      <c r="B9" s="20"/>
    </row>
    <row r="12" spans="1:7" x14ac:dyDescent="0.3">
      <c r="A12" s="3" t="s">
        <v>787</v>
      </c>
    </row>
    <row r="15" spans="1:7" x14ac:dyDescent="0.3">
      <c r="A15" s="21" t="s">
        <v>783</v>
      </c>
      <c r="B15" t="s">
        <v>788</v>
      </c>
    </row>
    <row r="16" spans="1:7" x14ac:dyDescent="0.3">
      <c r="A16" s="22" t="s">
        <v>26</v>
      </c>
      <c r="B16" s="20">
        <v>72</v>
      </c>
    </row>
    <row r="17" spans="1:3" x14ac:dyDescent="0.3">
      <c r="A17" s="22" t="s">
        <v>18</v>
      </c>
      <c r="B17" s="20">
        <v>129</v>
      </c>
    </row>
    <row r="18" spans="1:3" x14ac:dyDescent="0.3">
      <c r="A18" s="22" t="s">
        <v>55</v>
      </c>
      <c r="B18" s="20">
        <v>131</v>
      </c>
    </row>
    <row r="19" spans="1:3" x14ac:dyDescent="0.3">
      <c r="A19" s="22" t="s">
        <v>45</v>
      </c>
      <c r="B19" s="20">
        <v>65</v>
      </c>
    </row>
    <row r="20" spans="1:3" x14ac:dyDescent="0.3">
      <c r="A20" s="22" t="s">
        <v>50</v>
      </c>
      <c r="B20" s="20">
        <v>103</v>
      </c>
    </row>
    <row r="21" spans="1:3" x14ac:dyDescent="0.3">
      <c r="A21" s="22" t="s">
        <v>784</v>
      </c>
      <c r="B21" s="20"/>
    </row>
    <row r="22" spans="1:3" x14ac:dyDescent="0.3">
      <c r="A22" s="22" t="s">
        <v>785</v>
      </c>
      <c r="B22" s="20">
        <v>500</v>
      </c>
    </row>
    <row r="24" spans="1:3" x14ac:dyDescent="0.3">
      <c r="A24" s="3" t="s">
        <v>789</v>
      </c>
      <c r="B24" s="3"/>
      <c r="C24" s="3"/>
    </row>
    <row r="27" spans="1:3" x14ac:dyDescent="0.3">
      <c r="A27" s="21" t="s">
        <v>783</v>
      </c>
      <c r="B27" t="s">
        <v>788</v>
      </c>
    </row>
    <row r="28" spans="1:3" x14ac:dyDescent="0.3">
      <c r="A28" s="22" t="s">
        <v>27</v>
      </c>
      <c r="B28" s="20">
        <v>135</v>
      </c>
    </row>
    <row r="29" spans="1:3" x14ac:dyDescent="0.3">
      <c r="A29" s="22" t="s">
        <v>56</v>
      </c>
      <c r="B29" s="20">
        <v>129</v>
      </c>
    </row>
    <row r="30" spans="1:3" x14ac:dyDescent="0.3">
      <c r="A30" s="22" t="s">
        <v>91</v>
      </c>
      <c r="B30" s="20">
        <v>36</v>
      </c>
    </row>
    <row r="31" spans="1:3" x14ac:dyDescent="0.3">
      <c r="A31" s="22" t="s">
        <v>19</v>
      </c>
      <c r="B31" s="20">
        <v>200</v>
      </c>
    </row>
    <row r="32" spans="1:3" x14ac:dyDescent="0.3">
      <c r="A32" s="22" t="s">
        <v>784</v>
      </c>
      <c r="B32" s="20"/>
    </row>
    <row r="33" spans="1:8" x14ac:dyDescent="0.3">
      <c r="A33" s="22" t="s">
        <v>785</v>
      </c>
      <c r="B33" s="20">
        <v>500</v>
      </c>
    </row>
    <row r="34" spans="1:8" x14ac:dyDescent="0.3">
      <c r="D34" s="3"/>
      <c r="G34" s="3" t="s">
        <v>799</v>
      </c>
    </row>
    <row r="35" spans="1:8" x14ac:dyDescent="0.3">
      <c r="A35" s="3" t="s">
        <v>790</v>
      </c>
    </row>
    <row r="36" spans="1:8" x14ac:dyDescent="0.3">
      <c r="G36" s="21" t="s">
        <v>783</v>
      </c>
      <c r="H36" t="s">
        <v>786</v>
      </c>
    </row>
    <row r="37" spans="1:8" x14ac:dyDescent="0.3">
      <c r="A37" s="21" t="s">
        <v>783</v>
      </c>
      <c r="B37" t="s">
        <v>788</v>
      </c>
      <c r="G37" s="22" t="s">
        <v>27</v>
      </c>
      <c r="H37" s="20">
        <v>1419039</v>
      </c>
    </row>
    <row r="38" spans="1:8" x14ac:dyDescent="0.3">
      <c r="A38" s="22" t="s">
        <v>46</v>
      </c>
      <c r="B38" s="20">
        <v>33</v>
      </c>
      <c r="G38" s="22" t="s">
        <v>56</v>
      </c>
      <c r="H38" s="20">
        <v>1300229</v>
      </c>
    </row>
    <row r="39" spans="1:8" x14ac:dyDescent="0.3">
      <c r="A39" s="22" t="s">
        <v>20</v>
      </c>
      <c r="B39" s="20">
        <v>446</v>
      </c>
      <c r="G39" s="22" t="s">
        <v>91</v>
      </c>
      <c r="H39" s="20">
        <v>472890</v>
      </c>
    </row>
    <row r="40" spans="1:8" x14ac:dyDescent="0.3">
      <c r="A40" s="22" t="s">
        <v>139</v>
      </c>
      <c r="B40" s="20">
        <v>21</v>
      </c>
      <c r="G40" s="22" t="s">
        <v>19</v>
      </c>
      <c r="H40" s="20">
        <v>2821786</v>
      </c>
    </row>
    <row r="41" spans="1:8" x14ac:dyDescent="0.3">
      <c r="A41" s="22" t="s">
        <v>784</v>
      </c>
      <c r="B41" s="20"/>
      <c r="G41" s="22" t="s">
        <v>784</v>
      </c>
      <c r="H41" s="20"/>
    </row>
    <row r="44" spans="1:8" s="3" customFormat="1" x14ac:dyDescent="0.3">
      <c r="A44" s="3" t="s">
        <v>791</v>
      </c>
      <c r="D44" s="3" t="s">
        <v>794</v>
      </c>
    </row>
    <row r="47" spans="1:8" x14ac:dyDescent="0.3">
      <c r="A47" s="21" t="s">
        <v>783</v>
      </c>
      <c r="B47" t="s">
        <v>792</v>
      </c>
      <c r="D47" s="21" t="s">
        <v>783</v>
      </c>
      <c r="E47" t="s">
        <v>788</v>
      </c>
    </row>
    <row r="48" spans="1:8" x14ac:dyDescent="0.3">
      <c r="A48" s="22" t="s">
        <v>26</v>
      </c>
      <c r="B48" s="20">
        <v>2.25</v>
      </c>
      <c r="D48" s="22" t="s">
        <v>24</v>
      </c>
      <c r="E48" s="20">
        <v>44</v>
      </c>
    </row>
    <row r="49" spans="1:5" x14ac:dyDescent="0.3">
      <c r="A49" s="22" t="s">
        <v>18</v>
      </c>
      <c r="B49" s="20">
        <v>3.441860465116279</v>
      </c>
      <c r="D49" s="22" t="s">
        <v>36</v>
      </c>
      <c r="E49" s="20">
        <v>99</v>
      </c>
    </row>
    <row r="50" spans="1:5" x14ac:dyDescent="0.3">
      <c r="A50" s="22" t="s">
        <v>55</v>
      </c>
      <c r="B50" s="20">
        <v>4.3816793893129775</v>
      </c>
      <c r="D50" s="22" t="s">
        <v>81</v>
      </c>
      <c r="E50" s="20">
        <v>43</v>
      </c>
    </row>
    <row r="51" spans="1:5" x14ac:dyDescent="0.3">
      <c r="A51" s="22" t="s">
        <v>45</v>
      </c>
      <c r="B51" s="20">
        <v>1.7692307692307692</v>
      </c>
      <c r="D51" s="22" t="s">
        <v>117</v>
      </c>
      <c r="E51" s="20">
        <v>54</v>
      </c>
    </row>
    <row r="52" spans="1:5" x14ac:dyDescent="0.3">
      <c r="A52" s="22" t="s">
        <v>50</v>
      </c>
      <c r="B52" s="20">
        <v>3.1650485436893203</v>
      </c>
      <c r="D52" s="22" t="s">
        <v>40</v>
      </c>
      <c r="E52" s="20">
        <v>76</v>
      </c>
    </row>
    <row r="53" spans="1:5" x14ac:dyDescent="0.3">
      <c r="A53" s="22" t="s">
        <v>784</v>
      </c>
      <c r="B53" s="20"/>
      <c r="D53" s="22" t="s">
        <v>65</v>
      </c>
      <c r="E53" s="20">
        <v>45</v>
      </c>
    </row>
    <row r="54" spans="1:5" x14ac:dyDescent="0.3">
      <c r="A54" s="22" t="s">
        <v>785</v>
      </c>
      <c r="B54" s="20">
        <v>3.242</v>
      </c>
      <c r="D54" s="22" t="s">
        <v>16</v>
      </c>
      <c r="E54" s="20">
        <v>55</v>
      </c>
    </row>
    <row r="55" spans="1:5" x14ac:dyDescent="0.3">
      <c r="D55" s="22" t="s">
        <v>31</v>
      </c>
      <c r="E55" s="20">
        <v>84</v>
      </c>
    </row>
    <row r="56" spans="1:5" x14ac:dyDescent="0.3">
      <c r="A56" s="3" t="s">
        <v>793</v>
      </c>
      <c r="D56" s="22" t="s">
        <v>784</v>
      </c>
      <c r="E56" s="20"/>
    </row>
    <row r="58" spans="1:5" x14ac:dyDescent="0.3">
      <c r="A58" s="21" t="s">
        <v>783</v>
      </c>
      <c r="B58" t="s">
        <v>786</v>
      </c>
    </row>
    <row r="59" spans="1:5" x14ac:dyDescent="0.3">
      <c r="A59" s="22" t="s">
        <v>124</v>
      </c>
      <c r="B59" s="20">
        <v>98600</v>
      </c>
      <c r="D59" s="3" t="s">
        <v>795</v>
      </c>
    </row>
    <row r="60" spans="1:5" x14ac:dyDescent="0.3">
      <c r="A60" s="22" t="s">
        <v>82</v>
      </c>
      <c r="B60" s="20">
        <v>39173</v>
      </c>
    </row>
    <row r="61" spans="1:5" x14ac:dyDescent="0.3">
      <c r="A61" s="22" t="s">
        <v>90</v>
      </c>
      <c r="B61" s="20">
        <v>1245131</v>
      </c>
    </row>
    <row r="62" spans="1:5" x14ac:dyDescent="0.3">
      <c r="A62" s="22" t="s">
        <v>113</v>
      </c>
      <c r="B62" s="20">
        <v>26645</v>
      </c>
      <c r="D62" s="21" t="s">
        <v>783</v>
      </c>
      <c r="E62" t="s">
        <v>788</v>
      </c>
    </row>
    <row r="63" spans="1:5" x14ac:dyDescent="0.3">
      <c r="A63" s="22" t="s">
        <v>72</v>
      </c>
      <c r="B63" s="20">
        <v>10750</v>
      </c>
      <c r="D63" s="22" t="s">
        <v>24</v>
      </c>
      <c r="E63" s="20">
        <v>44</v>
      </c>
    </row>
    <row r="64" spans="1:5" x14ac:dyDescent="0.3">
      <c r="A64" s="22" t="s">
        <v>135</v>
      </c>
      <c r="B64" s="20">
        <v>37527</v>
      </c>
      <c r="D64" s="22" t="s">
        <v>36</v>
      </c>
      <c r="E64" s="20">
        <v>99</v>
      </c>
    </row>
    <row r="65" spans="1:5" x14ac:dyDescent="0.3">
      <c r="A65" s="22" t="s">
        <v>85</v>
      </c>
      <c r="B65" s="20">
        <v>28000</v>
      </c>
      <c r="D65" s="22" t="s">
        <v>81</v>
      </c>
      <c r="E65" s="20">
        <v>43</v>
      </c>
    </row>
    <row r="66" spans="1:5" x14ac:dyDescent="0.3">
      <c r="A66" s="22" t="s">
        <v>68</v>
      </c>
      <c r="B66" s="20">
        <v>24518</v>
      </c>
      <c r="D66" s="22" t="s">
        <v>117</v>
      </c>
      <c r="E66" s="20">
        <v>54</v>
      </c>
    </row>
    <row r="67" spans="1:5" x14ac:dyDescent="0.3">
      <c r="A67" s="22" t="s">
        <v>44</v>
      </c>
      <c r="B67" s="20">
        <v>24550</v>
      </c>
      <c r="D67" s="22" t="s">
        <v>40</v>
      </c>
      <c r="E67" s="20">
        <v>76</v>
      </c>
    </row>
    <row r="68" spans="1:5" x14ac:dyDescent="0.3">
      <c r="A68" s="22" t="s">
        <v>25</v>
      </c>
      <c r="B68" s="20">
        <v>20657</v>
      </c>
      <c r="D68" s="22" t="s">
        <v>65</v>
      </c>
      <c r="E68" s="20">
        <v>45</v>
      </c>
    </row>
    <row r="69" spans="1:5" x14ac:dyDescent="0.3">
      <c r="A69" s="22" t="s">
        <v>54</v>
      </c>
      <c r="B69" s="20">
        <v>69600</v>
      </c>
      <c r="D69" s="22" t="s">
        <v>16</v>
      </c>
      <c r="E69" s="20">
        <v>55</v>
      </c>
    </row>
    <row r="70" spans="1:5" x14ac:dyDescent="0.3">
      <c r="A70" s="22" t="s">
        <v>190</v>
      </c>
      <c r="B70" s="20">
        <v>119500</v>
      </c>
      <c r="D70" s="22" t="s">
        <v>31</v>
      </c>
      <c r="E70" s="20">
        <v>84</v>
      </c>
    </row>
    <row r="71" spans="1:5" x14ac:dyDescent="0.3">
      <c r="A71" s="22" t="s">
        <v>32</v>
      </c>
      <c r="B71" s="20">
        <v>1176376</v>
      </c>
      <c r="D71" s="22" t="s">
        <v>784</v>
      </c>
      <c r="E71" s="20"/>
    </row>
    <row r="72" spans="1:5" x14ac:dyDescent="0.3">
      <c r="A72" s="22" t="s">
        <v>383</v>
      </c>
      <c r="B72" s="20">
        <v>15312</v>
      </c>
      <c r="D72" s="22" t="s">
        <v>785</v>
      </c>
      <c r="E72" s="20">
        <v>500</v>
      </c>
    </row>
    <row r="73" spans="1:5" x14ac:dyDescent="0.3">
      <c r="A73" s="22" t="s">
        <v>122</v>
      </c>
      <c r="B73" s="20">
        <v>10050</v>
      </c>
    </row>
    <row r="74" spans="1:5" x14ac:dyDescent="0.3">
      <c r="A74" s="22" t="s">
        <v>17</v>
      </c>
      <c r="B74" s="20">
        <v>1484263</v>
      </c>
      <c r="D74" s="3" t="s">
        <v>796</v>
      </c>
    </row>
    <row r="75" spans="1:5" x14ac:dyDescent="0.3">
      <c r="A75" s="22" t="s">
        <v>95</v>
      </c>
      <c r="B75" s="20">
        <v>24750</v>
      </c>
    </row>
    <row r="76" spans="1:5" x14ac:dyDescent="0.3">
      <c r="A76" s="22" t="s">
        <v>127</v>
      </c>
      <c r="B76" s="20">
        <v>77500</v>
      </c>
    </row>
    <row r="77" spans="1:5" x14ac:dyDescent="0.3">
      <c r="A77" s="22" t="s">
        <v>88</v>
      </c>
      <c r="B77" s="20">
        <v>15470</v>
      </c>
      <c r="D77" s="21" t="s">
        <v>783</v>
      </c>
      <c r="E77" t="s">
        <v>786</v>
      </c>
    </row>
    <row r="78" spans="1:5" x14ac:dyDescent="0.3">
      <c r="A78" s="22" t="s">
        <v>213</v>
      </c>
      <c r="B78" s="20">
        <v>420225</v>
      </c>
      <c r="D78" s="22" t="s">
        <v>776</v>
      </c>
      <c r="E78" s="20">
        <v>715402</v>
      </c>
    </row>
    <row r="79" spans="1:5" x14ac:dyDescent="0.3">
      <c r="A79" s="22" t="s">
        <v>62</v>
      </c>
      <c r="B79" s="20">
        <v>50999</v>
      </c>
      <c r="D79" s="22" t="s">
        <v>777</v>
      </c>
      <c r="E79" s="20">
        <v>965237</v>
      </c>
    </row>
    <row r="80" spans="1:5" x14ac:dyDescent="0.3">
      <c r="A80" s="22" t="s">
        <v>49</v>
      </c>
      <c r="B80" s="20">
        <v>38776</v>
      </c>
      <c r="D80" s="22" t="s">
        <v>778</v>
      </c>
      <c r="E80" s="20">
        <v>1107093</v>
      </c>
    </row>
    <row r="81" spans="1:5" x14ac:dyDescent="0.3">
      <c r="A81" s="22" t="s">
        <v>131</v>
      </c>
      <c r="B81" s="20">
        <v>70100</v>
      </c>
      <c r="D81" s="22" t="s">
        <v>779</v>
      </c>
      <c r="E81" s="20">
        <v>910743</v>
      </c>
    </row>
    <row r="82" spans="1:5" x14ac:dyDescent="0.3">
      <c r="A82" s="22" t="s">
        <v>141</v>
      </c>
      <c r="B82" s="20">
        <v>52759</v>
      </c>
      <c r="D82" s="22" t="s">
        <v>780</v>
      </c>
      <c r="E82" s="20">
        <v>1276404</v>
      </c>
    </row>
    <row r="83" spans="1:5" x14ac:dyDescent="0.3">
      <c r="A83" s="22" t="s">
        <v>156</v>
      </c>
      <c r="B83" s="20">
        <v>832713</v>
      </c>
      <c r="D83" s="22" t="s">
        <v>781</v>
      </c>
      <c r="E83" s="20">
        <v>1039065</v>
      </c>
    </row>
    <row r="84" spans="1:5" x14ac:dyDescent="0.3">
      <c r="A84" s="22" t="s">
        <v>784</v>
      </c>
      <c r="B84" s="20"/>
    </row>
    <row r="85" spans="1:5" x14ac:dyDescent="0.3">
      <c r="A85" s="22" t="s">
        <v>785</v>
      </c>
      <c r="B85" s="20">
        <v>6013944</v>
      </c>
    </row>
    <row r="87" spans="1:5" x14ac:dyDescent="0.3">
      <c r="D87" s="3" t="s">
        <v>797</v>
      </c>
    </row>
    <row r="88" spans="1:5" x14ac:dyDescent="0.3">
      <c r="D88" s="21" t="s">
        <v>11</v>
      </c>
      <c r="E88" t="s">
        <v>798</v>
      </c>
    </row>
    <row r="90" spans="1:5" x14ac:dyDescent="0.3">
      <c r="D90" s="21" t="s">
        <v>783</v>
      </c>
      <c r="E90" t="s">
        <v>788</v>
      </c>
    </row>
    <row r="91" spans="1:5" x14ac:dyDescent="0.3">
      <c r="D91" s="22" t="s">
        <v>124</v>
      </c>
      <c r="E91" s="20">
        <v>25</v>
      </c>
    </row>
    <row r="92" spans="1:5" x14ac:dyDescent="0.3">
      <c r="D92" s="22" t="s">
        <v>82</v>
      </c>
      <c r="E92" s="20">
        <v>22</v>
      </c>
    </row>
    <row r="93" spans="1:5" x14ac:dyDescent="0.3">
      <c r="D93" s="22" t="s">
        <v>90</v>
      </c>
      <c r="E93" s="20">
        <v>32</v>
      </c>
    </row>
    <row r="94" spans="1:5" x14ac:dyDescent="0.3">
      <c r="D94" s="22" t="s">
        <v>113</v>
      </c>
      <c r="E94" s="20">
        <v>17</v>
      </c>
    </row>
    <row r="95" spans="1:5" x14ac:dyDescent="0.3">
      <c r="D95" s="22" t="s">
        <v>72</v>
      </c>
      <c r="E95" s="20">
        <v>11</v>
      </c>
    </row>
    <row r="96" spans="1:5" x14ac:dyDescent="0.3">
      <c r="D96" s="22" t="s">
        <v>135</v>
      </c>
      <c r="E96" s="20">
        <v>20</v>
      </c>
    </row>
    <row r="97" spans="4:5" x14ac:dyDescent="0.3">
      <c r="D97" s="22" t="s">
        <v>85</v>
      </c>
      <c r="E97" s="20">
        <v>17</v>
      </c>
    </row>
    <row r="98" spans="4:5" x14ac:dyDescent="0.3">
      <c r="D98" s="22" t="s">
        <v>68</v>
      </c>
      <c r="E98" s="20">
        <v>18</v>
      </c>
    </row>
    <row r="99" spans="4:5" x14ac:dyDescent="0.3">
      <c r="D99" s="22" t="s">
        <v>44</v>
      </c>
      <c r="E99" s="20">
        <v>14</v>
      </c>
    </row>
    <row r="100" spans="4:5" x14ac:dyDescent="0.3">
      <c r="D100" s="22" t="s">
        <v>25</v>
      </c>
      <c r="E100" s="20">
        <v>12</v>
      </c>
    </row>
    <row r="101" spans="4:5" x14ac:dyDescent="0.3">
      <c r="D101" s="22" t="s">
        <v>54</v>
      </c>
      <c r="E101" s="20">
        <v>23</v>
      </c>
    </row>
    <row r="102" spans="4:5" x14ac:dyDescent="0.3">
      <c r="D102" s="22" t="s">
        <v>190</v>
      </c>
      <c r="E102" s="20">
        <v>35</v>
      </c>
    </row>
    <row r="103" spans="4:5" x14ac:dyDescent="0.3">
      <c r="D103" s="22" t="s">
        <v>32</v>
      </c>
      <c r="E103" s="20">
        <v>29</v>
      </c>
    </row>
    <row r="104" spans="4:5" x14ac:dyDescent="0.3">
      <c r="D104" s="22" t="s">
        <v>383</v>
      </c>
      <c r="E104" s="20">
        <v>12</v>
      </c>
    </row>
    <row r="105" spans="4:5" x14ac:dyDescent="0.3">
      <c r="D105" s="22" t="s">
        <v>122</v>
      </c>
      <c r="E105" s="20">
        <v>7</v>
      </c>
    </row>
    <row r="106" spans="4:5" x14ac:dyDescent="0.3">
      <c r="D106" s="22" t="s">
        <v>17</v>
      </c>
      <c r="E106" s="20">
        <v>36</v>
      </c>
    </row>
    <row r="107" spans="4:5" x14ac:dyDescent="0.3">
      <c r="D107" s="22" t="s">
        <v>95</v>
      </c>
      <c r="E107" s="20">
        <v>16</v>
      </c>
    </row>
    <row r="108" spans="4:5" x14ac:dyDescent="0.3">
      <c r="D108" s="22" t="s">
        <v>127</v>
      </c>
      <c r="E108" s="20">
        <v>28</v>
      </c>
    </row>
    <row r="109" spans="4:5" x14ac:dyDescent="0.3">
      <c r="D109" s="22" t="s">
        <v>88</v>
      </c>
      <c r="E109" s="20">
        <v>13</v>
      </c>
    </row>
    <row r="110" spans="4:5" x14ac:dyDescent="0.3">
      <c r="D110" s="22" t="s">
        <v>213</v>
      </c>
      <c r="E110" s="20">
        <v>10</v>
      </c>
    </row>
    <row r="111" spans="4:5" x14ac:dyDescent="0.3">
      <c r="D111" s="22" t="s">
        <v>62</v>
      </c>
      <c r="E111" s="20">
        <v>21</v>
      </c>
    </row>
    <row r="112" spans="4:5" x14ac:dyDescent="0.3">
      <c r="D112" s="22" t="s">
        <v>49</v>
      </c>
      <c r="E112" s="20">
        <v>19</v>
      </c>
    </row>
    <row r="113" spans="4:5" x14ac:dyDescent="0.3">
      <c r="D113" s="22" t="s">
        <v>131</v>
      </c>
      <c r="E113" s="20">
        <v>20</v>
      </c>
    </row>
    <row r="114" spans="4:5" x14ac:dyDescent="0.3">
      <c r="D114" s="22" t="s">
        <v>141</v>
      </c>
      <c r="E114" s="20">
        <v>21</v>
      </c>
    </row>
    <row r="115" spans="4:5" x14ac:dyDescent="0.3">
      <c r="D115" s="22" t="s">
        <v>156</v>
      </c>
      <c r="E115" s="20">
        <v>22</v>
      </c>
    </row>
    <row r="116" spans="4:5" x14ac:dyDescent="0.3">
      <c r="D116" s="22" t="s">
        <v>784</v>
      </c>
      <c r="E116" s="20"/>
    </row>
    <row r="117" spans="4:5" x14ac:dyDescent="0.3">
      <c r="D117" s="22" t="s">
        <v>785</v>
      </c>
      <c r="E117" s="20">
        <v>500</v>
      </c>
    </row>
  </sheetData>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71440-4EF8-4944-869C-17CC2EB473EF}">
  <dimension ref="D2:Y95"/>
  <sheetViews>
    <sheetView tabSelected="1" topLeftCell="A12" zoomScale="65" workbookViewId="0">
      <selection activeCell="AD7" sqref="AD7"/>
    </sheetView>
  </sheetViews>
  <sheetFormatPr defaultRowHeight="14.4" x14ac:dyDescent="0.3"/>
  <cols>
    <col min="1" max="16384" width="8.88671875" style="25"/>
  </cols>
  <sheetData>
    <row r="2" spans="7:25" x14ac:dyDescent="0.3">
      <c r="G2" s="24"/>
      <c r="H2" s="24"/>
      <c r="I2" s="24"/>
      <c r="J2" s="24"/>
      <c r="K2" s="24"/>
    </row>
    <row r="3" spans="7:25" ht="21" x14ac:dyDescent="0.5">
      <c r="G3" s="26"/>
      <c r="H3" s="26"/>
      <c r="I3" s="26"/>
      <c r="J3" s="26"/>
      <c r="K3" s="26"/>
      <c r="L3" s="26"/>
      <c r="M3" s="26"/>
      <c r="N3" s="26"/>
    </row>
    <row r="4" spans="7:25" ht="22.8" x14ac:dyDescent="0.3">
      <c r="G4" s="24"/>
      <c r="H4" s="24"/>
      <c r="I4" s="24"/>
      <c r="J4" s="24"/>
      <c r="K4" s="34"/>
      <c r="L4" s="35" t="s">
        <v>800</v>
      </c>
      <c r="M4" s="35"/>
      <c r="N4" s="35"/>
      <c r="O4" s="35"/>
      <c r="P4" s="35"/>
      <c r="Q4" s="36"/>
      <c r="R4" s="36"/>
      <c r="S4" s="37"/>
      <c r="T4" s="37"/>
    </row>
    <row r="11" spans="7:25" ht="21" x14ac:dyDescent="0.5">
      <c r="R11" s="26"/>
      <c r="S11" s="26"/>
      <c r="T11" s="26"/>
      <c r="U11" s="26"/>
      <c r="V11" s="26"/>
      <c r="W11" s="26"/>
      <c r="X11" s="26"/>
      <c r="Y11" s="26"/>
    </row>
    <row r="47" spans="6:10" ht="21" x14ac:dyDescent="0.5">
      <c r="F47" s="30"/>
      <c r="G47" s="30"/>
      <c r="H47" s="30"/>
      <c r="I47" s="31"/>
      <c r="J47" s="31"/>
    </row>
    <row r="50" spans="4:13" ht="21" x14ac:dyDescent="0.4">
      <c r="F50" s="32"/>
      <c r="G50" s="32"/>
      <c r="H50" s="32"/>
      <c r="I50" s="32"/>
      <c r="J50" s="28"/>
      <c r="K50" s="28"/>
    </row>
    <row r="51" spans="4:13" ht="21" x14ac:dyDescent="0.5">
      <c r="E51" s="29"/>
      <c r="F51" s="29"/>
      <c r="G51" s="29"/>
    </row>
    <row r="52" spans="4:13" ht="15.6" x14ac:dyDescent="0.3">
      <c r="E52" s="33"/>
      <c r="F52" s="27"/>
      <c r="G52" s="27"/>
      <c r="H52" s="27"/>
      <c r="I52" s="27"/>
      <c r="J52" s="27"/>
    </row>
    <row r="53" spans="4:13" ht="15.6" x14ac:dyDescent="0.3">
      <c r="D53" s="27"/>
      <c r="E53" s="27"/>
      <c r="F53" s="27"/>
      <c r="G53" s="27"/>
      <c r="H53" s="27"/>
      <c r="I53" s="27"/>
    </row>
    <row r="55" spans="4:13" ht="15.6" x14ac:dyDescent="0.3">
      <c r="F55" s="27"/>
      <c r="G55" s="27"/>
      <c r="H55" s="27"/>
      <c r="I55" s="27"/>
      <c r="J55" s="27"/>
      <c r="M55" s="27"/>
    </row>
    <row r="56" spans="4:13" ht="15.6" x14ac:dyDescent="0.3">
      <c r="E56" s="27"/>
      <c r="F56" s="27"/>
      <c r="G56" s="27"/>
      <c r="H56" s="27"/>
      <c r="I56" s="27"/>
    </row>
    <row r="58" spans="4:13" ht="15.6" x14ac:dyDescent="0.3">
      <c r="F58" s="27"/>
      <c r="G58" s="33"/>
      <c r="H58" s="33"/>
      <c r="I58" s="33"/>
      <c r="J58" s="33"/>
      <c r="K58" s="33"/>
    </row>
    <row r="59" spans="4:13" ht="15.6" x14ac:dyDescent="0.3">
      <c r="E59" s="27"/>
      <c r="F59" s="27"/>
      <c r="G59" s="27"/>
      <c r="H59" s="27"/>
      <c r="I59" s="27"/>
      <c r="J59" s="27"/>
    </row>
    <row r="61" spans="4:13" ht="15.6" x14ac:dyDescent="0.3">
      <c r="F61" s="27"/>
      <c r="G61" s="33"/>
      <c r="H61" s="33"/>
      <c r="I61" s="33"/>
      <c r="J61" s="33"/>
    </row>
    <row r="62" spans="4:13" ht="15.6" x14ac:dyDescent="0.3">
      <c r="E62" s="27"/>
      <c r="F62" s="27"/>
      <c r="G62" s="27"/>
      <c r="H62" s="27"/>
      <c r="I62" s="27"/>
    </row>
    <row r="64" spans="4:13" ht="15.6" x14ac:dyDescent="0.3">
      <c r="F64" s="27"/>
      <c r="G64" s="27"/>
      <c r="H64" s="27"/>
      <c r="I64" s="27"/>
      <c r="J64" s="27"/>
    </row>
    <row r="65" spans="4:24" ht="21" x14ac:dyDescent="0.5">
      <c r="D65" s="27"/>
      <c r="E65" s="27"/>
      <c r="F65" s="27"/>
      <c r="G65" s="27"/>
      <c r="H65" s="27"/>
      <c r="I65" s="27"/>
      <c r="J65" s="27"/>
      <c r="R65" s="29" t="s">
        <v>802</v>
      </c>
      <c r="S65" s="29"/>
      <c r="T65" s="29"/>
    </row>
    <row r="66" spans="4:24" ht="15.6" x14ac:dyDescent="0.3">
      <c r="R66" s="33"/>
      <c r="S66" s="27"/>
      <c r="T66" s="27"/>
      <c r="U66" s="27"/>
      <c r="V66" s="27"/>
      <c r="W66" s="27"/>
    </row>
    <row r="67" spans="4:24" ht="15.6" x14ac:dyDescent="0.3">
      <c r="R67" s="27" t="s">
        <v>803</v>
      </c>
      <c r="S67" s="27"/>
      <c r="T67" s="27"/>
      <c r="U67" s="27"/>
      <c r="V67" s="27"/>
    </row>
    <row r="68" spans="4:24" ht="15.6" x14ac:dyDescent="0.3">
      <c r="D68" s="27"/>
      <c r="E68" s="27"/>
      <c r="F68" s="27"/>
      <c r="G68" s="27"/>
      <c r="H68" s="27"/>
      <c r="I68" s="27"/>
      <c r="J68" s="27"/>
      <c r="R68" s="25" t="s">
        <v>801</v>
      </c>
    </row>
    <row r="69" spans="4:24" ht="15.6" x14ac:dyDescent="0.3">
      <c r="S69" s="27"/>
      <c r="T69" s="27"/>
      <c r="U69" s="27"/>
      <c r="V69" s="27"/>
      <c r="W69" s="27"/>
    </row>
    <row r="70" spans="4:24" ht="15.6" x14ac:dyDescent="0.3">
      <c r="R70" s="27" t="s">
        <v>804</v>
      </c>
      <c r="S70" s="27"/>
      <c r="T70" s="27"/>
      <c r="U70" s="27"/>
      <c r="V70" s="27"/>
    </row>
    <row r="71" spans="4:24" ht="15.6" x14ac:dyDescent="0.3">
      <c r="D71" s="27"/>
      <c r="E71" s="27"/>
      <c r="F71" s="27"/>
      <c r="G71" s="27"/>
      <c r="H71" s="27"/>
      <c r="I71" s="27"/>
      <c r="R71" s="25" t="s">
        <v>805</v>
      </c>
    </row>
    <row r="72" spans="4:24" ht="15.6" x14ac:dyDescent="0.3">
      <c r="S72" s="27"/>
      <c r="T72" s="33"/>
      <c r="U72" s="33"/>
      <c r="V72" s="33"/>
      <c r="W72" s="33"/>
      <c r="X72" s="33"/>
    </row>
    <row r="73" spans="4:24" ht="15.6" x14ac:dyDescent="0.3">
      <c r="R73" s="27" t="s">
        <v>806</v>
      </c>
      <c r="S73" s="27"/>
      <c r="T73" s="27"/>
      <c r="U73" s="27"/>
      <c r="V73" s="27"/>
      <c r="W73" s="27"/>
    </row>
    <row r="74" spans="4:24" ht="15.6" x14ac:dyDescent="0.3">
      <c r="E74" s="27"/>
      <c r="F74" s="27"/>
      <c r="G74" s="27"/>
      <c r="H74" s="27"/>
      <c r="I74" s="27"/>
      <c r="J74" s="27"/>
      <c r="R74" s="25" t="s">
        <v>807</v>
      </c>
    </row>
    <row r="75" spans="4:24" ht="15.6" x14ac:dyDescent="0.3">
      <c r="S75" s="27"/>
      <c r="T75" s="33"/>
      <c r="U75" s="33"/>
      <c r="V75" s="33"/>
      <c r="W75" s="33"/>
    </row>
    <row r="76" spans="4:24" ht="15.6" x14ac:dyDescent="0.3">
      <c r="R76" s="27" t="s">
        <v>808</v>
      </c>
      <c r="S76" s="27"/>
      <c r="T76" s="27"/>
      <c r="U76" s="27"/>
      <c r="V76" s="27"/>
    </row>
    <row r="77" spans="4:24" ht="15.6" x14ac:dyDescent="0.3">
      <c r="E77" s="27"/>
      <c r="F77" s="27"/>
      <c r="G77" s="27"/>
      <c r="H77" s="27"/>
      <c r="R77" s="25" t="s">
        <v>809</v>
      </c>
    </row>
    <row r="78" spans="4:24" ht="15.6" x14ac:dyDescent="0.3">
      <c r="S78" s="27"/>
      <c r="T78" s="27"/>
      <c r="U78" s="27"/>
      <c r="V78" s="27"/>
      <c r="W78" s="27"/>
    </row>
    <row r="79" spans="4:24" ht="15.6" x14ac:dyDescent="0.3">
      <c r="R79" s="27" t="s">
        <v>810</v>
      </c>
      <c r="S79" s="27"/>
      <c r="T79" s="27"/>
      <c r="U79" s="27"/>
      <c r="V79" s="27"/>
      <c r="W79" s="27"/>
    </row>
    <row r="80" spans="4:24" ht="15.6" x14ac:dyDescent="0.3">
      <c r="E80" s="27"/>
      <c r="F80" s="27"/>
      <c r="G80" s="27"/>
      <c r="H80" s="27"/>
      <c r="I80" s="27"/>
      <c r="R80" s="25" t="s">
        <v>811</v>
      </c>
    </row>
    <row r="82" spans="18:23" ht="15.6" x14ac:dyDescent="0.3">
      <c r="R82" s="27" t="s">
        <v>812</v>
      </c>
      <c r="S82" s="27"/>
      <c r="T82" s="27"/>
      <c r="U82" s="27"/>
      <c r="V82" s="27"/>
      <c r="W82" s="27"/>
    </row>
    <row r="83" spans="18:23" x14ac:dyDescent="0.3">
      <c r="R83" s="25" t="s">
        <v>813</v>
      </c>
    </row>
    <row r="85" spans="18:23" ht="15.6" x14ac:dyDescent="0.3">
      <c r="R85" s="27" t="s">
        <v>814</v>
      </c>
      <c r="S85" s="27"/>
      <c r="T85" s="27"/>
      <c r="U85" s="27"/>
      <c r="V85" s="27"/>
    </row>
    <row r="86" spans="18:23" x14ac:dyDescent="0.3">
      <c r="R86" s="25" t="s">
        <v>815</v>
      </c>
    </row>
    <row r="88" spans="18:23" ht="15.6" x14ac:dyDescent="0.3">
      <c r="R88" s="27" t="s">
        <v>816</v>
      </c>
      <c r="S88" s="27"/>
      <c r="T88" s="27"/>
      <c r="U88" s="27"/>
      <c r="V88" s="27"/>
      <c r="W88" s="27"/>
    </row>
    <row r="89" spans="18:23" x14ac:dyDescent="0.3">
      <c r="R89" s="25" t="s">
        <v>817</v>
      </c>
    </row>
    <row r="91" spans="18:23" ht="15.6" x14ac:dyDescent="0.3">
      <c r="R91" s="27" t="s">
        <v>818</v>
      </c>
      <c r="S91" s="27"/>
      <c r="T91" s="27"/>
      <c r="U91" s="27"/>
    </row>
    <row r="92" spans="18:23" x14ac:dyDescent="0.3">
      <c r="R92" s="25" t="s">
        <v>819</v>
      </c>
    </row>
    <row r="94" spans="18:23" ht="15.6" x14ac:dyDescent="0.3">
      <c r="R94" s="27" t="s">
        <v>820</v>
      </c>
      <c r="S94" s="27"/>
      <c r="T94" s="27"/>
      <c r="U94" s="27"/>
      <c r="V94" s="27"/>
    </row>
    <row r="95" spans="18:23" x14ac:dyDescent="0.3">
      <c r="R95" s="25" t="s">
        <v>821</v>
      </c>
    </row>
  </sheetData>
  <mergeCells count="2">
    <mergeCell ref="R11:Y11"/>
    <mergeCell ref="G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4D19-57F4-4802-BED3-258F2B12F5FA}">
  <sheetPr filterMode="1"/>
  <dimension ref="A1:W501"/>
  <sheetViews>
    <sheetView workbookViewId="0">
      <selection activeCell="G4" sqref="G4"/>
    </sheetView>
  </sheetViews>
  <sheetFormatPr defaultRowHeight="14.4" x14ac:dyDescent="0.3"/>
  <cols>
    <col min="1" max="1" width="12.44140625" bestFit="1" customWidth="1"/>
    <col min="2" max="2" width="18.109375" bestFit="1" customWidth="1"/>
    <col min="3" max="3" width="19.21875" bestFit="1" customWidth="1"/>
    <col min="4" max="4" width="15.77734375" bestFit="1" customWidth="1"/>
    <col min="5" max="5" width="19.109375" bestFit="1" customWidth="1"/>
    <col min="6" max="6" width="22.109375" bestFit="1" customWidth="1"/>
    <col min="7" max="7" width="10.109375" bestFit="1" customWidth="1"/>
    <col min="8" max="8" width="18.109375" bestFit="1" customWidth="1"/>
    <col min="9" max="10" width="16.109375" bestFit="1" customWidth="1"/>
    <col min="11" max="11" width="10.5546875" bestFit="1" customWidth="1"/>
    <col min="12" max="12" width="16.109375" customWidth="1"/>
    <col min="13" max="13" width="10.5546875" bestFit="1" customWidth="1"/>
    <col min="14" max="14" width="13" bestFit="1" customWidth="1"/>
    <col min="15" max="15" width="12.77734375" bestFit="1" customWidth="1"/>
    <col min="16" max="16" width="13.5546875" bestFit="1" customWidth="1"/>
    <col min="17" max="17" width="14.6640625" bestFit="1" customWidth="1"/>
    <col min="18" max="18" width="14.77734375" bestFit="1" customWidth="1"/>
    <col min="19" max="19" width="20.33203125" bestFit="1" customWidth="1"/>
    <col min="20" max="20" width="23.33203125" bestFit="1" customWidth="1"/>
    <col min="21" max="21" width="4" bestFit="1" customWidth="1"/>
    <col min="22" max="22" width="15.88671875" bestFit="1" customWidth="1"/>
    <col min="23" max="23" width="16.6640625" bestFit="1" customWidth="1"/>
  </cols>
  <sheetData>
    <row r="1" spans="1:23" x14ac:dyDescent="0.3">
      <c r="A1" s="1" t="s">
        <v>0</v>
      </c>
      <c r="B1" s="1" t="s">
        <v>1</v>
      </c>
      <c r="C1" s="19" t="s">
        <v>774</v>
      </c>
      <c r="D1" s="1" t="s">
        <v>2</v>
      </c>
      <c r="E1" s="1" t="s">
        <v>3</v>
      </c>
      <c r="F1" s="4" t="s">
        <v>748</v>
      </c>
      <c r="G1" s="1" t="s">
        <v>4</v>
      </c>
      <c r="H1" s="10" t="s">
        <v>769</v>
      </c>
      <c r="I1" s="5" t="s">
        <v>749</v>
      </c>
      <c r="J1" s="1" t="s">
        <v>5</v>
      </c>
      <c r="K1" s="8" t="s">
        <v>768</v>
      </c>
      <c r="L1" s="7" t="s">
        <v>5</v>
      </c>
      <c r="M1" s="8" t="s">
        <v>768</v>
      </c>
      <c r="N1" s="1" t="s">
        <v>6</v>
      </c>
      <c r="O1" s="1" t="s">
        <v>7</v>
      </c>
      <c r="P1" s="1" t="s">
        <v>8</v>
      </c>
      <c r="Q1" s="1" t="s">
        <v>9</v>
      </c>
      <c r="R1" s="6" t="s">
        <v>756</v>
      </c>
      <c r="S1" s="1" t="s">
        <v>10</v>
      </c>
      <c r="T1" s="4" t="s">
        <v>750</v>
      </c>
      <c r="U1" s="4"/>
      <c r="V1" s="1" t="s">
        <v>11</v>
      </c>
      <c r="W1" s="1" t="s">
        <v>12</v>
      </c>
    </row>
    <row r="2" spans="1:23" hidden="1" x14ac:dyDescent="0.3">
      <c r="A2" t="s">
        <v>13</v>
      </c>
      <c r="B2" s="2">
        <v>46125</v>
      </c>
      <c r="C2" s="2" t="str" cm="1">
        <f t="array" ref="C2:C501">TEXT(B2:B501,"mmm")</f>
        <v>Apr</v>
      </c>
      <c r="D2" t="s">
        <v>14</v>
      </c>
      <c r="E2" t="s">
        <v>15</v>
      </c>
      <c r="F2" t="str">
        <f>TRIM(E2)</f>
        <v>Aditya</v>
      </c>
      <c r="G2" t="s">
        <v>16</v>
      </c>
      <c r="H2" cm="1">
        <f t="array" ref="H2:H403">COUNTIF(G2:G403,G2:G403)</f>
        <v>49</v>
      </c>
      <c r="I2" t="str">
        <f>TRIM(G2)</f>
        <v>Lucknow</v>
      </c>
      <c r="J2" t="s">
        <v>17</v>
      </c>
      <c r="K2" cm="1">
        <f t="array" aca="1" ref="K2:K501" ca="1">SUMIF(J2:J501,J2:J501,O2:O500)</f>
        <v>55</v>
      </c>
      <c r="L2" t="s">
        <v>124</v>
      </c>
      <c r="M2" cm="1">
        <f t="array" ref="M2:M26">SUMIF(J2:J501,L2:L26,R2:R501)</f>
        <v>98600</v>
      </c>
      <c r="N2" t="s">
        <v>18</v>
      </c>
      <c r="O2">
        <v>1</v>
      </c>
      <c r="P2">
        <v>37060</v>
      </c>
      <c r="Q2">
        <v>0</v>
      </c>
      <c r="R2">
        <f>O2*P2</f>
        <v>37060</v>
      </c>
      <c r="S2" t="s">
        <v>19</v>
      </c>
      <c r="T2" t="str">
        <f>TRIM(S2)</f>
        <v>UPI</v>
      </c>
      <c r="U2" cm="1">
        <f t="array" ref="U2:U501">COUNTIF(T2:T501,S2:S501)</f>
        <v>200</v>
      </c>
      <c r="V2" t="s">
        <v>20</v>
      </c>
      <c r="W2">
        <v>6</v>
      </c>
    </row>
    <row r="3" spans="1:23" hidden="1" x14ac:dyDescent="0.3">
      <c r="A3" t="s">
        <v>21</v>
      </c>
      <c r="B3" s="2">
        <v>46075</v>
      </c>
      <c r="C3" s="2" t="str">
        <v>Feb</v>
      </c>
      <c r="D3" t="s">
        <v>22</v>
      </c>
      <c r="E3" t="s">
        <v>23</v>
      </c>
      <c r="F3" t="str">
        <f>TRIM(E3)</f>
        <v>Pooja</v>
      </c>
      <c r="G3" t="s">
        <v>24</v>
      </c>
      <c r="H3">
        <v>35</v>
      </c>
      <c r="I3" t="str">
        <f t="shared" ref="I3:I66" si="0">TRIM(G3)</f>
        <v>Chandigarh</v>
      </c>
      <c r="J3" t="s">
        <v>25</v>
      </c>
      <c r="K3">
        <f ca="1"/>
        <v>20</v>
      </c>
      <c r="L3" t="s">
        <v>82</v>
      </c>
      <c r="M3">
        <v>39173</v>
      </c>
      <c r="N3" t="s">
        <v>26</v>
      </c>
      <c r="O3">
        <v>1</v>
      </c>
      <c r="P3">
        <v>1627</v>
      </c>
      <c r="Q3">
        <v>5</v>
      </c>
      <c r="R3">
        <f>O3*P3</f>
        <v>1627</v>
      </c>
      <c r="S3" t="s">
        <v>27</v>
      </c>
      <c r="T3" t="str">
        <f>TRIM(S3)</f>
        <v>Card</v>
      </c>
      <c r="U3">
        <v>135</v>
      </c>
      <c r="V3" t="s">
        <v>20</v>
      </c>
      <c r="W3">
        <v>3</v>
      </c>
    </row>
    <row r="4" spans="1:23" x14ac:dyDescent="0.3">
      <c r="A4" t="s">
        <v>28</v>
      </c>
      <c r="B4" s="2">
        <v>46081</v>
      </c>
      <c r="C4" s="2" t="str">
        <v>Feb</v>
      </c>
      <c r="D4" t="s">
        <v>29</v>
      </c>
      <c r="E4" t="s">
        <v>30</v>
      </c>
      <c r="F4" t="str">
        <f>TRIM(E4)</f>
        <v>Simran</v>
      </c>
      <c r="G4" t="s">
        <v>31</v>
      </c>
      <c r="H4">
        <v>64</v>
      </c>
      <c r="I4" t="str">
        <f t="shared" si="0"/>
        <v>Noida</v>
      </c>
      <c r="J4" t="s">
        <v>32</v>
      </c>
      <c r="K4">
        <f ca="1"/>
        <v>36</v>
      </c>
      <c r="L4" t="s">
        <v>113</v>
      </c>
      <c r="M4">
        <v>26645</v>
      </c>
      <c r="N4" t="s">
        <v>18</v>
      </c>
      <c r="O4">
        <v>1</v>
      </c>
      <c r="P4">
        <v>28095</v>
      </c>
      <c r="Q4">
        <v>0</v>
      </c>
      <c r="R4">
        <f>O4*P4</f>
        <v>28095</v>
      </c>
      <c r="S4" t="s">
        <v>27</v>
      </c>
      <c r="T4" t="str">
        <f>TRIM(S4)</f>
        <v>Card</v>
      </c>
      <c r="U4">
        <v>135</v>
      </c>
      <c r="V4" t="s">
        <v>20</v>
      </c>
      <c r="W4">
        <v>3</v>
      </c>
    </row>
    <row r="5" spans="1:23" hidden="1" x14ac:dyDescent="0.3">
      <c r="A5" t="s">
        <v>33</v>
      </c>
      <c r="B5" s="2">
        <v>46157</v>
      </c>
      <c r="C5" s="2" t="str">
        <v>May</v>
      </c>
      <c r="D5" t="s">
        <v>34</v>
      </c>
      <c r="E5" t="s">
        <v>35</v>
      </c>
      <c r="F5" t="str">
        <f>TRIM(E5)</f>
        <v>Rohan</v>
      </c>
      <c r="G5" t="s">
        <v>36</v>
      </c>
      <c r="H5">
        <v>73</v>
      </c>
      <c r="I5" t="str">
        <f t="shared" si="0"/>
        <v>Delhi</v>
      </c>
      <c r="J5" t="s">
        <v>32</v>
      </c>
      <c r="K5">
        <f ca="1"/>
        <v>36</v>
      </c>
      <c r="L5" t="s">
        <v>90</v>
      </c>
      <c r="M5">
        <v>1245131</v>
      </c>
      <c r="N5" t="s">
        <v>18</v>
      </c>
      <c r="O5">
        <v>3</v>
      </c>
      <c r="P5">
        <v>44232</v>
      </c>
      <c r="Q5">
        <v>15</v>
      </c>
      <c r="R5">
        <f>O5*P5</f>
        <v>132696</v>
      </c>
      <c r="S5" t="s">
        <v>19</v>
      </c>
      <c r="T5" t="str">
        <f>TRIM(S5)</f>
        <v>UPI</v>
      </c>
      <c r="U5">
        <v>200</v>
      </c>
      <c r="V5" t="s">
        <v>20</v>
      </c>
      <c r="W5">
        <v>4</v>
      </c>
    </row>
    <row r="6" spans="1:23" hidden="1" x14ac:dyDescent="0.3">
      <c r="A6" t="s">
        <v>37</v>
      </c>
      <c r="B6" s="2">
        <v>46114</v>
      </c>
      <c r="C6" s="2" t="str">
        <v>Apr</v>
      </c>
      <c r="D6" t="s">
        <v>38</v>
      </c>
      <c r="E6" t="s">
        <v>39</v>
      </c>
      <c r="F6" t="str">
        <f>TRIM(E6)</f>
        <v>Aman</v>
      </c>
      <c r="G6" t="s">
        <v>40</v>
      </c>
      <c r="H6">
        <v>69</v>
      </c>
      <c r="I6" t="str">
        <f t="shared" si="0"/>
        <v>Gurugram</v>
      </c>
      <c r="J6" t="s">
        <v>17</v>
      </c>
      <c r="K6">
        <f ca="1"/>
        <v>55</v>
      </c>
      <c r="L6" t="s">
        <v>72</v>
      </c>
      <c r="M6">
        <v>10750</v>
      </c>
      <c r="N6" t="s">
        <v>18</v>
      </c>
      <c r="O6">
        <v>1</v>
      </c>
      <c r="P6">
        <v>13751</v>
      </c>
      <c r="Q6">
        <v>20</v>
      </c>
      <c r="R6">
        <f>O6*P6</f>
        <v>13751</v>
      </c>
      <c r="S6" t="s">
        <v>19</v>
      </c>
      <c r="T6" t="str">
        <f>TRIM(S6)</f>
        <v>UPI</v>
      </c>
      <c r="U6">
        <v>200</v>
      </c>
      <c r="V6" t="s">
        <v>20</v>
      </c>
      <c r="W6">
        <v>4</v>
      </c>
    </row>
    <row r="7" spans="1:23" hidden="1" x14ac:dyDescent="0.3">
      <c r="A7" t="s">
        <v>41</v>
      </c>
      <c r="B7" s="2">
        <v>46026</v>
      </c>
      <c r="C7" s="2" t="str">
        <v>Jan</v>
      </c>
      <c r="D7" t="s">
        <v>42</v>
      </c>
      <c r="E7" t="s">
        <v>43</v>
      </c>
      <c r="F7" t="str">
        <f>TRIM(E7)</f>
        <v>Aarav</v>
      </c>
      <c r="G7" t="s">
        <v>36</v>
      </c>
      <c r="H7">
        <v>73</v>
      </c>
      <c r="I7" t="str">
        <f t="shared" si="0"/>
        <v>Delhi</v>
      </c>
      <c r="J7" t="s">
        <v>44</v>
      </c>
      <c r="K7">
        <f ca="1"/>
        <v>29</v>
      </c>
      <c r="L7" t="s">
        <v>135</v>
      </c>
      <c r="M7">
        <v>37527</v>
      </c>
      <c r="N7" t="s">
        <v>45</v>
      </c>
      <c r="O7">
        <v>3</v>
      </c>
      <c r="P7">
        <v>700</v>
      </c>
      <c r="Q7">
        <v>20</v>
      </c>
      <c r="R7">
        <f>O7*P7</f>
        <v>2100</v>
      </c>
      <c r="S7" t="s">
        <v>27</v>
      </c>
      <c r="T7" t="str">
        <f>TRIM(S7)</f>
        <v>Card</v>
      </c>
      <c r="U7">
        <v>135</v>
      </c>
      <c r="V7" t="s">
        <v>46</v>
      </c>
      <c r="W7">
        <v>0</v>
      </c>
    </row>
    <row r="8" spans="1:23" hidden="1" x14ac:dyDescent="0.3">
      <c r="A8" t="s">
        <v>47</v>
      </c>
      <c r="B8" s="2">
        <v>46104</v>
      </c>
      <c r="C8" s="2" t="str">
        <v>Mar</v>
      </c>
      <c r="D8" t="s">
        <v>48</v>
      </c>
      <c r="E8" t="s">
        <v>23</v>
      </c>
      <c r="F8" t="str">
        <f>TRIM(E8)</f>
        <v>Pooja</v>
      </c>
      <c r="G8" t="s">
        <v>40</v>
      </c>
      <c r="H8" s="11">
        <v>69</v>
      </c>
      <c r="I8" t="str">
        <f t="shared" si="0"/>
        <v>Gurugram</v>
      </c>
      <c r="J8" t="s">
        <v>49</v>
      </c>
      <c r="K8">
        <f ca="1"/>
        <v>29</v>
      </c>
      <c r="L8" t="s">
        <v>68</v>
      </c>
      <c r="M8">
        <v>24518</v>
      </c>
      <c r="N8" t="s">
        <v>50</v>
      </c>
      <c r="O8">
        <v>1</v>
      </c>
      <c r="P8">
        <v>2271</v>
      </c>
      <c r="Q8">
        <v>5</v>
      </c>
      <c r="R8">
        <f>O8*P8</f>
        <v>2271</v>
      </c>
      <c r="S8" t="s">
        <v>19</v>
      </c>
      <c r="T8" t="str">
        <f>TRIM(S8)</f>
        <v>UPI</v>
      </c>
      <c r="U8">
        <v>200</v>
      </c>
      <c r="V8" t="s">
        <v>20</v>
      </c>
      <c r="W8">
        <v>1</v>
      </c>
    </row>
    <row r="9" spans="1:23" hidden="1" x14ac:dyDescent="0.3">
      <c r="A9" t="s">
        <v>51</v>
      </c>
      <c r="B9" s="2">
        <v>46093</v>
      </c>
      <c r="C9" s="2" t="str">
        <v>Mar</v>
      </c>
      <c r="D9" t="s">
        <v>52</v>
      </c>
      <c r="E9" t="s">
        <v>53</v>
      </c>
      <c r="F9" t="str">
        <f>TRIM(E9)</f>
        <v>Isha</v>
      </c>
      <c r="G9" t="s">
        <v>40</v>
      </c>
      <c r="H9">
        <v>69</v>
      </c>
      <c r="I9" t="str">
        <f t="shared" si="0"/>
        <v>Gurugram</v>
      </c>
      <c r="J9" t="s">
        <v>54</v>
      </c>
      <c r="K9">
        <f ca="1"/>
        <v>31</v>
      </c>
      <c r="L9" t="s">
        <v>85</v>
      </c>
      <c r="M9">
        <v>28000</v>
      </c>
      <c r="N9" t="s">
        <v>55</v>
      </c>
      <c r="O9">
        <v>2</v>
      </c>
      <c r="P9">
        <v>2300</v>
      </c>
      <c r="Q9">
        <v>15</v>
      </c>
      <c r="R9">
        <f>O9*P9</f>
        <v>4600</v>
      </c>
      <c r="S9" t="s">
        <v>56</v>
      </c>
      <c r="T9" t="str">
        <f>TRIM(S9)</f>
        <v>COD</v>
      </c>
      <c r="U9">
        <v>129</v>
      </c>
      <c r="V9" t="s">
        <v>20</v>
      </c>
      <c r="W9">
        <v>3</v>
      </c>
    </row>
    <row r="10" spans="1:23" hidden="1" x14ac:dyDescent="0.3">
      <c r="A10" t="s">
        <v>57</v>
      </c>
      <c r="B10" s="2">
        <v>46094</v>
      </c>
      <c r="C10" s="2" t="str">
        <v>Mar</v>
      </c>
      <c r="D10" t="s">
        <v>58</v>
      </c>
      <c r="E10" t="s">
        <v>53</v>
      </c>
      <c r="F10" t="str">
        <f>TRIM(E10)</f>
        <v>Isha</v>
      </c>
      <c r="G10" t="s">
        <v>40</v>
      </c>
      <c r="H10">
        <v>69</v>
      </c>
      <c r="I10" t="str">
        <f t="shared" si="0"/>
        <v>Gurugram</v>
      </c>
      <c r="J10" t="s">
        <v>17</v>
      </c>
      <c r="K10">
        <f ca="1"/>
        <v>55</v>
      </c>
      <c r="L10" t="s">
        <v>25</v>
      </c>
      <c r="M10">
        <v>20657</v>
      </c>
      <c r="N10" t="s">
        <v>18</v>
      </c>
      <c r="O10">
        <v>1</v>
      </c>
      <c r="P10">
        <v>4786</v>
      </c>
      <c r="Q10">
        <v>5</v>
      </c>
      <c r="R10">
        <f>O10*P10</f>
        <v>4786</v>
      </c>
      <c r="S10" t="s">
        <v>27</v>
      </c>
      <c r="T10" t="str">
        <f>TRIM(S10)</f>
        <v>Card</v>
      </c>
      <c r="U10">
        <v>135</v>
      </c>
      <c r="V10" t="s">
        <v>20</v>
      </c>
      <c r="W10">
        <v>3</v>
      </c>
    </row>
    <row r="11" spans="1:23" hidden="1" x14ac:dyDescent="0.3">
      <c r="A11" t="s">
        <v>59</v>
      </c>
      <c r="B11" s="2">
        <v>46153</v>
      </c>
      <c r="C11" s="2" t="str">
        <v>May</v>
      </c>
      <c r="D11" t="s">
        <v>60</v>
      </c>
      <c r="E11" t="s">
        <v>61</v>
      </c>
      <c r="F11" t="str">
        <f>TRIM(E11)</f>
        <v>Nikhil</v>
      </c>
      <c r="G11" t="s">
        <v>16</v>
      </c>
      <c r="H11">
        <v>49</v>
      </c>
      <c r="I11" t="str">
        <f t="shared" si="0"/>
        <v>Lucknow</v>
      </c>
      <c r="J11" t="s">
        <v>62</v>
      </c>
      <c r="K11">
        <f ca="1"/>
        <v>33</v>
      </c>
      <c r="L11" t="s">
        <v>44</v>
      </c>
      <c r="M11">
        <v>24550</v>
      </c>
      <c r="N11" t="s">
        <v>50</v>
      </c>
      <c r="O11">
        <v>2</v>
      </c>
      <c r="P11">
        <v>884</v>
      </c>
      <c r="Q11">
        <v>0</v>
      </c>
      <c r="R11">
        <f>O11*P11</f>
        <v>1768</v>
      </c>
      <c r="S11" t="s">
        <v>27</v>
      </c>
      <c r="T11" t="str">
        <f>TRIM(S11)</f>
        <v>Card</v>
      </c>
      <c r="U11">
        <v>135</v>
      </c>
      <c r="V11" t="s">
        <v>20</v>
      </c>
      <c r="W11">
        <v>3</v>
      </c>
    </row>
    <row r="12" spans="1:23" hidden="1" x14ac:dyDescent="0.3">
      <c r="A12" t="s">
        <v>63</v>
      </c>
      <c r="B12" s="2">
        <v>46154</v>
      </c>
      <c r="C12" s="2" t="str">
        <v>May</v>
      </c>
      <c r="D12" t="s">
        <v>64</v>
      </c>
      <c r="E12" t="s">
        <v>39</v>
      </c>
      <c r="F12" t="str">
        <f>TRIM(E12)</f>
        <v>Aman</v>
      </c>
      <c r="G12" t="s">
        <v>65</v>
      </c>
      <c r="H12">
        <v>36</v>
      </c>
      <c r="I12" t="str">
        <f t="shared" si="0"/>
        <v>Jaipur</v>
      </c>
      <c r="J12" t="s">
        <v>17</v>
      </c>
      <c r="K12">
        <f ca="1"/>
        <v>55</v>
      </c>
      <c r="L12" t="s">
        <v>54</v>
      </c>
      <c r="M12">
        <v>69600</v>
      </c>
      <c r="N12" t="s">
        <v>18</v>
      </c>
      <c r="O12">
        <v>2</v>
      </c>
      <c r="P12">
        <v>26302</v>
      </c>
      <c r="Q12">
        <v>5</v>
      </c>
      <c r="R12">
        <f>O12*P12</f>
        <v>52604</v>
      </c>
      <c r="S12" t="s">
        <v>19</v>
      </c>
      <c r="T12" t="str">
        <f>TRIM(S12)</f>
        <v>UPI</v>
      </c>
      <c r="U12">
        <v>200</v>
      </c>
      <c r="V12" t="s">
        <v>20</v>
      </c>
      <c r="W12">
        <v>5</v>
      </c>
    </row>
    <row r="13" spans="1:23" hidden="1" x14ac:dyDescent="0.3">
      <c r="A13" t="s">
        <v>66</v>
      </c>
      <c r="B13" s="2">
        <v>46050</v>
      </c>
      <c r="C13" s="2" t="str">
        <v>Jan</v>
      </c>
      <c r="D13" t="s">
        <v>67</v>
      </c>
      <c r="E13" t="s">
        <v>53</v>
      </c>
      <c r="F13" t="str">
        <f>TRIM(E13)</f>
        <v>Isha</v>
      </c>
      <c r="G13" t="s">
        <v>65</v>
      </c>
      <c r="H13">
        <v>36</v>
      </c>
      <c r="I13" t="str">
        <f t="shared" si="0"/>
        <v>Jaipur</v>
      </c>
      <c r="J13" t="s">
        <v>68</v>
      </c>
      <c r="K13">
        <f ca="1"/>
        <v>23</v>
      </c>
      <c r="L13" t="s">
        <v>190</v>
      </c>
      <c r="M13">
        <v>119500</v>
      </c>
      <c r="N13" t="s">
        <v>26</v>
      </c>
      <c r="O13">
        <v>2</v>
      </c>
      <c r="P13">
        <v>1270</v>
      </c>
      <c r="Q13">
        <v>15</v>
      </c>
      <c r="R13">
        <f>O13*P13</f>
        <v>2540</v>
      </c>
      <c r="S13" t="s">
        <v>19</v>
      </c>
      <c r="T13" t="str">
        <f>TRIM(S13)</f>
        <v>UPI</v>
      </c>
      <c r="U13">
        <v>200</v>
      </c>
      <c r="V13" t="s">
        <v>46</v>
      </c>
      <c r="W13">
        <v>0</v>
      </c>
    </row>
    <row r="14" spans="1:23" hidden="1" x14ac:dyDescent="0.3">
      <c r="A14" t="s">
        <v>69</v>
      </c>
      <c r="B14" s="2">
        <v>46150</v>
      </c>
      <c r="C14" s="2" t="str">
        <v>May</v>
      </c>
      <c r="D14" t="s">
        <v>70</v>
      </c>
      <c r="E14" t="s">
        <v>71</v>
      </c>
      <c r="F14" t="str">
        <f>TRIM(E14)</f>
        <v>Riya</v>
      </c>
      <c r="G14" t="s">
        <v>16</v>
      </c>
      <c r="H14">
        <v>49</v>
      </c>
      <c r="I14" t="str">
        <f t="shared" si="0"/>
        <v>Lucknow</v>
      </c>
      <c r="J14" t="s">
        <v>72</v>
      </c>
      <c r="K14">
        <f ca="1"/>
        <v>14</v>
      </c>
      <c r="L14" t="s">
        <v>32</v>
      </c>
      <c r="M14">
        <v>1176376</v>
      </c>
      <c r="N14" t="s">
        <v>45</v>
      </c>
      <c r="O14">
        <v>1</v>
      </c>
      <c r="P14">
        <v>150</v>
      </c>
      <c r="Q14">
        <v>5</v>
      </c>
      <c r="R14">
        <f>O14*P14</f>
        <v>150</v>
      </c>
      <c r="S14" t="s">
        <v>56</v>
      </c>
      <c r="T14" t="str">
        <f>TRIM(S14)</f>
        <v>COD</v>
      </c>
      <c r="U14">
        <v>129</v>
      </c>
      <c r="V14" t="s">
        <v>20</v>
      </c>
      <c r="W14">
        <v>2</v>
      </c>
    </row>
    <row r="15" spans="1:23" x14ac:dyDescent="0.3">
      <c r="A15" t="s">
        <v>73</v>
      </c>
      <c r="B15" s="2">
        <v>46084</v>
      </c>
      <c r="C15" s="2" t="str">
        <v>Mar</v>
      </c>
      <c r="D15" t="s">
        <v>74</v>
      </c>
      <c r="E15" t="s">
        <v>75</v>
      </c>
      <c r="F15" t="str">
        <f>TRIM(E15)</f>
        <v>Sneha</v>
      </c>
      <c r="G15" t="s">
        <v>31</v>
      </c>
      <c r="H15">
        <v>64</v>
      </c>
      <c r="I15" t="str">
        <f t="shared" si="0"/>
        <v>Noida</v>
      </c>
      <c r="J15" t="s">
        <v>32</v>
      </c>
      <c r="K15">
        <f ca="1"/>
        <v>36</v>
      </c>
      <c r="L15" t="s">
        <v>383</v>
      </c>
      <c r="M15">
        <v>15312</v>
      </c>
      <c r="N15" t="s">
        <v>18</v>
      </c>
      <c r="O15">
        <v>3</v>
      </c>
      <c r="P15">
        <v>42439</v>
      </c>
      <c r="Q15">
        <v>5</v>
      </c>
      <c r="R15">
        <f>O15*P15</f>
        <v>127317</v>
      </c>
      <c r="S15" t="s">
        <v>27</v>
      </c>
      <c r="T15" t="str">
        <f>TRIM(S15)</f>
        <v>Card</v>
      </c>
      <c r="U15">
        <v>135</v>
      </c>
      <c r="V15" t="s">
        <v>20</v>
      </c>
      <c r="W15">
        <v>3</v>
      </c>
    </row>
    <row r="16" spans="1:23" hidden="1" x14ac:dyDescent="0.3">
      <c r="A16" t="s">
        <v>76</v>
      </c>
      <c r="B16" s="2">
        <v>46084</v>
      </c>
      <c r="C16" s="2" t="str">
        <v>Mar</v>
      </c>
      <c r="D16" t="s">
        <v>77</v>
      </c>
      <c r="E16" t="s">
        <v>23</v>
      </c>
      <c r="F16" t="str">
        <f>TRIM(E16)</f>
        <v>Pooja</v>
      </c>
      <c r="G16" t="s">
        <v>24</v>
      </c>
      <c r="H16">
        <v>35</v>
      </c>
      <c r="I16" t="str">
        <f t="shared" si="0"/>
        <v>Chandigarh</v>
      </c>
      <c r="J16" t="s">
        <v>44</v>
      </c>
      <c r="K16">
        <f ca="1"/>
        <v>29</v>
      </c>
      <c r="L16" t="s">
        <v>122</v>
      </c>
      <c r="M16">
        <v>10050</v>
      </c>
      <c r="N16" t="s">
        <v>45</v>
      </c>
      <c r="O16">
        <v>1</v>
      </c>
      <c r="P16">
        <v>250</v>
      </c>
      <c r="Q16">
        <v>5</v>
      </c>
      <c r="R16">
        <f>O16*P16</f>
        <v>250</v>
      </c>
      <c r="S16" t="s">
        <v>19</v>
      </c>
      <c r="T16" t="str">
        <f>TRIM(S16)</f>
        <v>UPI</v>
      </c>
      <c r="U16">
        <v>200</v>
      </c>
      <c r="V16" t="s">
        <v>20</v>
      </c>
      <c r="W16">
        <v>1</v>
      </c>
    </row>
    <row r="17" spans="1:23" hidden="1" x14ac:dyDescent="0.3">
      <c r="A17" t="s">
        <v>78</v>
      </c>
      <c r="B17" s="2">
        <v>46169</v>
      </c>
      <c r="C17" s="2" t="str">
        <v>May</v>
      </c>
      <c r="D17" t="s">
        <v>79</v>
      </c>
      <c r="E17" t="s">
        <v>80</v>
      </c>
      <c r="F17" t="str">
        <f>TRIM(E17)</f>
        <v>Varun</v>
      </c>
      <c r="G17" t="s">
        <v>81</v>
      </c>
      <c r="H17">
        <v>35</v>
      </c>
      <c r="I17" t="str">
        <f t="shared" si="0"/>
        <v>Faridabad</v>
      </c>
      <c r="J17" t="s">
        <v>82</v>
      </c>
      <c r="K17">
        <f ca="1"/>
        <v>33</v>
      </c>
      <c r="L17" t="s">
        <v>17</v>
      </c>
      <c r="M17">
        <v>1484263</v>
      </c>
      <c r="N17" t="s">
        <v>50</v>
      </c>
      <c r="O17">
        <v>1</v>
      </c>
      <c r="P17">
        <v>665</v>
      </c>
      <c r="Q17">
        <v>10</v>
      </c>
      <c r="R17">
        <f>O17*P17</f>
        <v>665</v>
      </c>
      <c r="S17" t="s">
        <v>56</v>
      </c>
      <c r="T17" t="str">
        <f>TRIM(S17)</f>
        <v>COD</v>
      </c>
      <c r="U17">
        <v>129</v>
      </c>
      <c r="V17" t="s">
        <v>20</v>
      </c>
      <c r="W17">
        <v>4</v>
      </c>
    </row>
    <row r="18" spans="1:23" hidden="1" x14ac:dyDescent="0.3">
      <c r="A18" t="s">
        <v>83</v>
      </c>
      <c r="B18" s="2">
        <v>46046</v>
      </c>
      <c r="C18" s="2" t="str">
        <v>Jan</v>
      </c>
      <c r="D18" t="s">
        <v>84</v>
      </c>
      <c r="E18" t="s">
        <v>35</v>
      </c>
      <c r="F18" t="str">
        <f>TRIM(E18)</f>
        <v>Rohan</v>
      </c>
      <c r="G18" t="s">
        <v>40</v>
      </c>
      <c r="H18">
        <v>69</v>
      </c>
      <c r="I18" t="str">
        <f t="shared" si="0"/>
        <v>Gurugram</v>
      </c>
      <c r="J18" t="s">
        <v>85</v>
      </c>
      <c r="K18">
        <f ca="1"/>
        <v>30</v>
      </c>
      <c r="L18" t="s">
        <v>95</v>
      </c>
      <c r="M18">
        <v>24750</v>
      </c>
      <c r="N18" t="s">
        <v>45</v>
      </c>
      <c r="O18">
        <v>2</v>
      </c>
      <c r="P18">
        <v>900</v>
      </c>
      <c r="Q18">
        <v>0</v>
      </c>
      <c r="R18">
        <f>O18*P18</f>
        <v>1800</v>
      </c>
      <c r="S18" t="s">
        <v>27</v>
      </c>
      <c r="T18" t="str">
        <f>TRIM(S18)</f>
        <v>Card</v>
      </c>
      <c r="U18">
        <v>135</v>
      </c>
      <c r="V18" t="s">
        <v>20</v>
      </c>
      <c r="W18">
        <v>1</v>
      </c>
    </row>
    <row r="19" spans="1:23" hidden="1" x14ac:dyDescent="0.3">
      <c r="A19" t="s">
        <v>86</v>
      </c>
      <c r="B19" s="2">
        <v>46169</v>
      </c>
      <c r="C19" s="2" t="str">
        <v>May</v>
      </c>
      <c r="D19" t="s">
        <v>77</v>
      </c>
      <c r="E19" t="s">
        <v>87</v>
      </c>
      <c r="F19" t="str">
        <f>TRIM(E19)</f>
        <v>Pooja</v>
      </c>
      <c r="G19" t="s">
        <v>81</v>
      </c>
      <c r="H19">
        <v>35</v>
      </c>
      <c r="I19" t="str">
        <f t="shared" si="0"/>
        <v>Faridabad</v>
      </c>
      <c r="J19" t="s">
        <v>88</v>
      </c>
      <c r="K19">
        <f ca="1"/>
        <v>17</v>
      </c>
      <c r="L19" t="s">
        <v>127</v>
      </c>
      <c r="M19">
        <v>77500</v>
      </c>
      <c r="N19" t="s">
        <v>26</v>
      </c>
      <c r="O19">
        <v>1</v>
      </c>
      <c r="P19">
        <v>556</v>
      </c>
      <c r="Q19">
        <v>10</v>
      </c>
      <c r="R19">
        <f>O19*P19</f>
        <v>556</v>
      </c>
      <c r="S19" t="s">
        <v>19</v>
      </c>
      <c r="T19" t="str">
        <f>TRIM(S19)</f>
        <v>UPI</v>
      </c>
      <c r="U19">
        <v>200</v>
      </c>
      <c r="V19" t="s">
        <v>46</v>
      </c>
      <c r="W19">
        <v>0</v>
      </c>
    </row>
    <row r="20" spans="1:23" x14ac:dyDescent="0.3">
      <c r="A20" t="s">
        <v>89</v>
      </c>
      <c r="B20" s="2">
        <v>46033</v>
      </c>
      <c r="C20" s="2" t="str">
        <v>Jan</v>
      </c>
      <c r="D20" t="s">
        <v>74</v>
      </c>
      <c r="E20" t="s">
        <v>75</v>
      </c>
      <c r="F20" t="str">
        <f>TRIM(E20)</f>
        <v>Sneha</v>
      </c>
      <c r="G20" t="s">
        <v>31</v>
      </c>
      <c r="H20">
        <v>64</v>
      </c>
      <c r="I20" t="str">
        <f t="shared" si="0"/>
        <v>Noida</v>
      </c>
      <c r="J20" t="s">
        <v>90</v>
      </c>
      <c r="K20">
        <f ca="1"/>
        <v>41</v>
      </c>
      <c r="L20" t="s">
        <v>88</v>
      </c>
      <c r="M20">
        <v>15470</v>
      </c>
      <c r="N20" t="s">
        <v>18</v>
      </c>
      <c r="O20">
        <v>1</v>
      </c>
      <c r="P20">
        <v>4786</v>
      </c>
      <c r="Q20">
        <v>0</v>
      </c>
      <c r="R20">
        <f>O20*P20</f>
        <v>4786</v>
      </c>
      <c r="S20" t="s">
        <v>91</v>
      </c>
      <c r="T20" t="str">
        <f>TRIM(S20)</f>
        <v>Net Banking</v>
      </c>
      <c r="U20">
        <v>36</v>
      </c>
      <c r="V20" t="s">
        <v>20</v>
      </c>
      <c r="W20">
        <v>5</v>
      </c>
    </row>
    <row r="21" spans="1:23" hidden="1" x14ac:dyDescent="0.3">
      <c r="A21" t="s">
        <v>92</v>
      </c>
      <c r="B21" s="2">
        <v>46024</v>
      </c>
      <c r="C21" s="2" t="str">
        <v>Jan</v>
      </c>
      <c r="D21" t="s">
        <v>93</v>
      </c>
      <c r="E21" t="s">
        <v>94</v>
      </c>
      <c r="F21" t="str">
        <f>TRIM(E21)</f>
        <v>Karan</v>
      </c>
      <c r="G21" t="s">
        <v>24</v>
      </c>
      <c r="H21">
        <v>35</v>
      </c>
      <c r="I21" t="str">
        <f t="shared" si="0"/>
        <v>Chandigarh</v>
      </c>
      <c r="J21" t="s">
        <v>95</v>
      </c>
      <c r="K21">
        <f ca="1"/>
        <v>28</v>
      </c>
      <c r="L21" t="s">
        <v>213</v>
      </c>
      <c r="M21">
        <v>420225</v>
      </c>
      <c r="N21" t="s">
        <v>45</v>
      </c>
      <c r="O21">
        <v>3</v>
      </c>
      <c r="P21">
        <v>350</v>
      </c>
      <c r="Q21">
        <v>0</v>
      </c>
      <c r="R21">
        <f>O21*P21</f>
        <v>1050</v>
      </c>
      <c r="S21" t="s">
        <v>19</v>
      </c>
      <c r="T21" t="str">
        <f>TRIM(S21)</f>
        <v>UPI</v>
      </c>
      <c r="U21">
        <v>200</v>
      </c>
      <c r="V21" t="s">
        <v>20</v>
      </c>
      <c r="W21">
        <v>2</v>
      </c>
    </row>
    <row r="22" spans="1:23" hidden="1" x14ac:dyDescent="0.3">
      <c r="A22" t="s">
        <v>96</v>
      </c>
      <c r="B22" s="2">
        <v>46142</v>
      </c>
      <c r="C22" s="2" t="str">
        <v>Apr</v>
      </c>
      <c r="D22" t="s">
        <v>97</v>
      </c>
      <c r="E22" t="s">
        <v>98</v>
      </c>
      <c r="F22" t="str">
        <f>TRIM(E22)</f>
        <v>Meera</v>
      </c>
      <c r="G22" t="s">
        <v>65</v>
      </c>
      <c r="H22">
        <v>36</v>
      </c>
      <c r="I22" t="str">
        <f t="shared" si="0"/>
        <v>Jaipur</v>
      </c>
      <c r="J22" t="s">
        <v>72</v>
      </c>
      <c r="K22">
        <f ca="1"/>
        <v>14</v>
      </c>
      <c r="L22" t="s">
        <v>62</v>
      </c>
      <c r="M22">
        <v>50999</v>
      </c>
      <c r="N22" t="s">
        <v>45</v>
      </c>
      <c r="O22">
        <v>2</v>
      </c>
      <c r="P22">
        <v>500</v>
      </c>
      <c r="Q22">
        <v>10</v>
      </c>
      <c r="R22">
        <f>O22*P22</f>
        <v>1000</v>
      </c>
      <c r="S22" t="s">
        <v>27</v>
      </c>
      <c r="T22" t="str">
        <f>TRIM(S22)</f>
        <v>Card</v>
      </c>
      <c r="U22">
        <v>135</v>
      </c>
      <c r="V22" t="s">
        <v>20</v>
      </c>
      <c r="W22">
        <v>2</v>
      </c>
    </row>
    <row r="23" spans="1:23" hidden="1" x14ac:dyDescent="0.3">
      <c r="A23" t="s">
        <v>99</v>
      </c>
      <c r="B23" s="2">
        <v>46175</v>
      </c>
      <c r="C23" s="2" t="str">
        <v>Jun</v>
      </c>
      <c r="D23" t="s">
        <v>100</v>
      </c>
      <c r="E23" t="s">
        <v>101</v>
      </c>
      <c r="F23" t="str">
        <f>TRIM(E23)</f>
        <v>Arjun</v>
      </c>
      <c r="G23" t="s">
        <v>36</v>
      </c>
      <c r="H23">
        <v>73</v>
      </c>
      <c r="I23" t="str">
        <f t="shared" si="0"/>
        <v>Delhi</v>
      </c>
      <c r="J23" t="s">
        <v>90</v>
      </c>
      <c r="K23">
        <f ca="1"/>
        <v>41</v>
      </c>
      <c r="L23" t="s">
        <v>49</v>
      </c>
      <c r="M23">
        <v>38776</v>
      </c>
      <c r="N23" t="s">
        <v>18</v>
      </c>
      <c r="O23">
        <v>2</v>
      </c>
      <c r="P23">
        <v>2993</v>
      </c>
      <c r="Q23">
        <v>10</v>
      </c>
      <c r="R23">
        <f>O23*P23</f>
        <v>5986</v>
      </c>
      <c r="S23" t="s">
        <v>19</v>
      </c>
      <c r="T23" t="str">
        <f>TRIM(S23)</f>
        <v>UPI</v>
      </c>
      <c r="U23">
        <v>200</v>
      </c>
      <c r="V23" t="s">
        <v>20</v>
      </c>
      <c r="W23">
        <v>3</v>
      </c>
    </row>
    <row r="24" spans="1:23" hidden="1" x14ac:dyDescent="0.3">
      <c r="A24" t="s">
        <v>102</v>
      </c>
      <c r="B24" s="2">
        <v>46150</v>
      </c>
      <c r="C24" s="2" t="str">
        <v>May</v>
      </c>
      <c r="D24" t="s">
        <v>79</v>
      </c>
      <c r="E24" t="s">
        <v>80</v>
      </c>
      <c r="F24" t="str">
        <f>TRIM(E24)</f>
        <v>Varun</v>
      </c>
      <c r="G24" t="s">
        <v>81</v>
      </c>
      <c r="H24">
        <v>35</v>
      </c>
      <c r="I24" t="str">
        <f t="shared" si="0"/>
        <v>Faridabad</v>
      </c>
      <c r="J24" t="s">
        <v>68</v>
      </c>
      <c r="K24">
        <f ca="1"/>
        <v>23</v>
      </c>
      <c r="L24" t="s">
        <v>131</v>
      </c>
      <c r="M24">
        <v>70100</v>
      </c>
      <c r="N24" t="s">
        <v>26</v>
      </c>
      <c r="O24">
        <v>1</v>
      </c>
      <c r="P24">
        <v>1015</v>
      </c>
      <c r="Q24">
        <v>5</v>
      </c>
      <c r="R24">
        <f>O24*P24</f>
        <v>1015</v>
      </c>
      <c r="S24" t="s">
        <v>19</v>
      </c>
      <c r="T24" t="str">
        <f>TRIM(S24)</f>
        <v>UPI</v>
      </c>
      <c r="U24">
        <v>200</v>
      </c>
      <c r="V24" t="s">
        <v>20</v>
      </c>
      <c r="W24">
        <v>1</v>
      </c>
    </row>
    <row r="25" spans="1:23" hidden="1" x14ac:dyDescent="0.3">
      <c r="A25" t="s">
        <v>103</v>
      </c>
      <c r="B25" s="2">
        <v>46131</v>
      </c>
      <c r="C25" s="2" t="str">
        <v>Apr</v>
      </c>
      <c r="D25" t="s">
        <v>104</v>
      </c>
      <c r="E25" t="s">
        <v>35</v>
      </c>
      <c r="F25" t="str">
        <f>TRIM(E25)</f>
        <v>Rohan</v>
      </c>
      <c r="G25" t="s">
        <v>40</v>
      </c>
      <c r="H25">
        <v>69</v>
      </c>
      <c r="I25" t="str">
        <f t="shared" si="0"/>
        <v>Gurugram</v>
      </c>
      <c r="J25" t="s">
        <v>85</v>
      </c>
      <c r="K25">
        <f ca="1"/>
        <v>30</v>
      </c>
      <c r="L25" t="s">
        <v>141</v>
      </c>
      <c r="M25">
        <v>52759</v>
      </c>
      <c r="N25" t="s">
        <v>45</v>
      </c>
      <c r="O25">
        <v>1</v>
      </c>
      <c r="P25">
        <v>200</v>
      </c>
      <c r="Q25">
        <v>10</v>
      </c>
      <c r="R25">
        <f>O25*P25</f>
        <v>200</v>
      </c>
      <c r="S25" t="s">
        <v>27</v>
      </c>
      <c r="T25" t="str">
        <f>TRIM(S25)</f>
        <v>Card</v>
      </c>
      <c r="U25">
        <v>135</v>
      </c>
      <c r="V25" t="s">
        <v>20</v>
      </c>
      <c r="W25">
        <v>1</v>
      </c>
    </row>
    <row r="26" spans="1:23" hidden="1" x14ac:dyDescent="0.3">
      <c r="A26" t="s">
        <v>105</v>
      </c>
      <c r="B26" s="2">
        <v>46057</v>
      </c>
      <c r="C26" s="2" t="str">
        <v>Feb</v>
      </c>
      <c r="D26" t="s">
        <v>106</v>
      </c>
      <c r="E26" t="s">
        <v>71</v>
      </c>
      <c r="F26" t="str">
        <f>TRIM(E26)</f>
        <v>Riya</v>
      </c>
      <c r="G26" t="s">
        <v>16</v>
      </c>
      <c r="H26">
        <v>49</v>
      </c>
      <c r="I26" t="str">
        <f t="shared" si="0"/>
        <v>Lucknow</v>
      </c>
      <c r="J26" t="s">
        <v>32</v>
      </c>
      <c r="K26">
        <f ca="1"/>
        <v>36</v>
      </c>
      <c r="L26" t="s">
        <v>156</v>
      </c>
      <c r="M26">
        <v>832713</v>
      </c>
      <c r="N26" t="s">
        <v>18</v>
      </c>
      <c r="O26">
        <v>1</v>
      </c>
      <c r="P26">
        <v>49611</v>
      </c>
      <c r="Q26">
        <v>5</v>
      </c>
      <c r="R26">
        <f>O26*P26</f>
        <v>49611</v>
      </c>
      <c r="S26" t="s">
        <v>56</v>
      </c>
      <c r="T26" t="str">
        <f>TRIM(S26)</f>
        <v>COD</v>
      </c>
      <c r="U26">
        <v>129</v>
      </c>
      <c r="V26" t="s">
        <v>20</v>
      </c>
      <c r="W26">
        <v>1</v>
      </c>
    </row>
    <row r="27" spans="1:23" x14ac:dyDescent="0.3">
      <c r="A27" t="s">
        <v>107</v>
      </c>
      <c r="B27" s="2">
        <v>46046</v>
      </c>
      <c r="C27" s="2" t="str">
        <v>Jan</v>
      </c>
      <c r="D27" t="s">
        <v>108</v>
      </c>
      <c r="E27" t="s">
        <v>109</v>
      </c>
      <c r="F27" t="str">
        <f>TRIM(E27)</f>
        <v>Neha</v>
      </c>
      <c r="G27" t="s">
        <v>31</v>
      </c>
      <c r="H27">
        <v>64</v>
      </c>
      <c r="I27" t="str">
        <f t="shared" si="0"/>
        <v>Noida</v>
      </c>
      <c r="J27" t="s">
        <v>62</v>
      </c>
      <c r="K27">
        <f ca="1"/>
        <v>33</v>
      </c>
      <c r="N27" t="s">
        <v>50</v>
      </c>
      <c r="O27">
        <v>2</v>
      </c>
      <c r="P27">
        <v>2271</v>
      </c>
      <c r="Q27">
        <v>5</v>
      </c>
      <c r="R27">
        <f>O27*P27</f>
        <v>4542</v>
      </c>
      <c r="S27" t="s">
        <v>19</v>
      </c>
      <c r="T27" t="str">
        <f>TRIM(S27)</f>
        <v>UPI</v>
      </c>
      <c r="U27">
        <v>200</v>
      </c>
      <c r="V27" t="s">
        <v>20</v>
      </c>
      <c r="W27">
        <v>2</v>
      </c>
    </row>
    <row r="28" spans="1:23" hidden="1" x14ac:dyDescent="0.3">
      <c r="A28" t="s">
        <v>110</v>
      </c>
      <c r="B28" s="2">
        <v>46076</v>
      </c>
      <c r="C28" s="2" t="str">
        <v>Feb</v>
      </c>
      <c r="D28" t="s">
        <v>111</v>
      </c>
      <c r="E28" t="s">
        <v>71</v>
      </c>
      <c r="F28" t="str">
        <f>TRIM(E28)</f>
        <v>Riya</v>
      </c>
      <c r="G28" t="s">
        <v>81</v>
      </c>
      <c r="H28">
        <v>35</v>
      </c>
      <c r="I28" t="str">
        <f t="shared" si="0"/>
        <v>Faridabad</v>
      </c>
      <c r="J28" t="s">
        <v>82</v>
      </c>
      <c r="K28">
        <f ca="1"/>
        <v>33</v>
      </c>
      <c r="M28" s="9">
        <f>SUM(_xlfn.ANCHORARRAY(M2))</f>
        <v>6013944</v>
      </c>
      <c r="N28" t="s">
        <v>50</v>
      </c>
      <c r="O28">
        <v>4</v>
      </c>
      <c r="P28">
        <v>1322</v>
      </c>
      <c r="Q28">
        <v>0</v>
      </c>
      <c r="R28">
        <f>O28*P28</f>
        <v>5288</v>
      </c>
      <c r="S28" t="s">
        <v>27</v>
      </c>
      <c r="T28" t="str">
        <f>TRIM(S28)</f>
        <v>Card</v>
      </c>
      <c r="U28">
        <v>135</v>
      </c>
      <c r="V28" t="s">
        <v>20</v>
      </c>
      <c r="W28">
        <v>3</v>
      </c>
    </row>
    <row r="29" spans="1:23" hidden="1" x14ac:dyDescent="0.3">
      <c r="A29" t="s">
        <v>112</v>
      </c>
      <c r="B29" s="2">
        <v>46126</v>
      </c>
      <c r="C29" s="2" t="str">
        <v>Apr</v>
      </c>
      <c r="D29" t="s">
        <v>52</v>
      </c>
      <c r="E29" t="s">
        <v>53</v>
      </c>
      <c r="F29" t="str">
        <f>TRIM(E29)</f>
        <v>Isha</v>
      </c>
      <c r="G29" t="s">
        <v>81</v>
      </c>
      <c r="H29">
        <v>35</v>
      </c>
      <c r="I29" t="str">
        <f t="shared" si="0"/>
        <v>Faridabad</v>
      </c>
      <c r="J29" t="s">
        <v>113</v>
      </c>
      <c r="K29">
        <f ca="1"/>
        <v>26</v>
      </c>
      <c r="N29" t="s">
        <v>26</v>
      </c>
      <c r="O29">
        <v>2</v>
      </c>
      <c r="P29">
        <v>709</v>
      </c>
      <c r="Q29">
        <v>15</v>
      </c>
      <c r="R29">
        <f>O29*P29</f>
        <v>1418</v>
      </c>
      <c r="S29" t="s">
        <v>56</v>
      </c>
      <c r="T29" t="str">
        <f>TRIM(S29)</f>
        <v>COD</v>
      </c>
      <c r="U29">
        <v>129</v>
      </c>
      <c r="V29" t="s">
        <v>46</v>
      </c>
      <c r="W29">
        <v>0</v>
      </c>
    </row>
    <row r="30" spans="1:23" hidden="1" x14ac:dyDescent="0.3">
      <c r="A30" t="s">
        <v>114</v>
      </c>
      <c r="B30" s="2">
        <v>46079</v>
      </c>
      <c r="C30" s="2" t="str">
        <v>Feb</v>
      </c>
      <c r="D30" t="s">
        <v>115</v>
      </c>
      <c r="E30" t="s">
        <v>116</v>
      </c>
      <c r="F30" t="str">
        <f>TRIM(E30)</f>
        <v>Priya</v>
      </c>
      <c r="G30" t="s">
        <v>117</v>
      </c>
      <c r="H30">
        <v>40</v>
      </c>
      <c r="I30" t="str">
        <f t="shared" si="0"/>
        <v>Ghaziabad</v>
      </c>
      <c r="J30" t="s">
        <v>32</v>
      </c>
      <c r="K30">
        <f ca="1"/>
        <v>36</v>
      </c>
      <c r="N30" t="s">
        <v>18</v>
      </c>
      <c r="O30">
        <v>1</v>
      </c>
      <c r="P30">
        <v>33474</v>
      </c>
      <c r="Q30">
        <v>5</v>
      </c>
      <c r="R30">
        <f>O30*P30</f>
        <v>33474</v>
      </c>
      <c r="S30" t="s">
        <v>19</v>
      </c>
      <c r="T30" t="str">
        <f>TRIM(S30)</f>
        <v>UPI</v>
      </c>
      <c r="U30">
        <v>200</v>
      </c>
      <c r="V30" t="s">
        <v>20</v>
      </c>
      <c r="W30">
        <v>3</v>
      </c>
    </row>
    <row r="31" spans="1:23" hidden="1" x14ac:dyDescent="0.3">
      <c r="A31" t="s">
        <v>118</v>
      </c>
      <c r="B31" s="2">
        <v>46147</v>
      </c>
      <c r="C31" s="2" t="str">
        <v>May</v>
      </c>
      <c r="D31" t="s">
        <v>119</v>
      </c>
      <c r="E31" t="s">
        <v>101</v>
      </c>
      <c r="F31" t="str">
        <f>TRIM(E31)</f>
        <v>Arjun</v>
      </c>
      <c r="G31" t="s">
        <v>16</v>
      </c>
      <c r="H31">
        <v>49</v>
      </c>
      <c r="I31" t="str">
        <f t="shared" si="0"/>
        <v>Lucknow</v>
      </c>
      <c r="J31" t="s">
        <v>72</v>
      </c>
      <c r="K31">
        <f ca="1"/>
        <v>14</v>
      </c>
      <c r="N31" t="s">
        <v>45</v>
      </c>
      <c r="O31">
        <v>1</v>
      </c>
      <c r="P31">
        <v>1100</v>
      </c>
      <c r="Q31">
        <v>5</v>
      </c>
      <c r="R31">
        <f>O31*P31</f>
        <v>1100</v>
      </c>
      <c r="S31" t="s">
        <v>27</v>
      </c>
      <c r="T31" t="str">
        <f>TRIM(S31)</f>
        <v>Card</v>
      </c>
      <c r="U31">
        <v>135</v>
      </c>
      <c r="V31" t="s">
        <v>20</v>
      </c>
      <c r="W31">
        <v>1</v>
      </c>
    </row>
    <row r="32" spans="1:23" x14ac:dyDescent="0.3">
      <c r="A32" t="s">
        <v>120</v>
      </c>
      <c r="B32" s="2">
        <v>46075</v>
      </c>
      <c r="C32" s="2" t="str">
        <v>Feb</v>
      </c>
      <c r="D32" t="s">
        <v>121</v>
      </c>
      <c r="E32" t="s">
        <v>109</v>
      </c>
      <c r="F32" t="str">
        <f>TRIM(E32)</f>
        <v>Neha</v>
      </c>
      <c r="G32" t="s">
        <v>31</v>
      </c>
      <c r="H32">
        <v>64</v>
      </c>
      <c r="I32" t="str">
        <f t="shared" si="0"/>
        <v>Noida</v>
      </c>
      <c r="J32" t="s">
        <v>122</v>
      </c>
      <c r="K32">
        <f ca="1"/>
        <v>10</v>
      </c>
      <c r="N32" t="s">
        <v>45</v>
      </c>
      <c r="O32">
        <v>1</v>
      </c>
      <c r="P32">
        <v>400</v>
      </c>
      <c r="Q32">
        <v>10</v>
      </c>
      <c r="R32">
        <f>O32*P32</f>
        <v>400</v>
      </c>
      <c r="S32" t="s">
        <v>27</v>
      </c>
      <c r="T32" t="str">
        <f>TRIM(S32)</f>
        <v>Card</v>
      </c>
      <c r="U32">
        <v>135</v>
      </c>
      <c r="V32" t="s">
        <v>20</v>
      </c>
      <c r="W32">
        <v>1</v>
      </c>
    </row>
    <row r="33" spans="1:23" x14ac:dyDescent="0.3">
      <c r="A33" t="s">
        <v>123</v>
      </c>
      <c r="B33" s="2">
        <v>46142</v>
      </c>
      <c r="C33" s="2" t="str">
        <v>Apr</v>
      </c>
      <c r="D33" t="s">
        <v>77</v>
      </c>
      <c r="E33" t="s">
        <v>23</v>
      </c>
      <c r="F33" t="str">
        <f>TRIM(E33)</f>
        <v>Pooja</v>
      </c>
      <c r="G33" t="s">
        <v>31</v>
      </c>
      <c r="H33">
        <v>64</v>
      </c>
      <c r="I33" t="str">
        <f t="shared" si="0"/>
        <v>Noida</v>
      </c>
      <c r="J33" t="s">
        <v>124</v>
      </c>
      <c r="K33">
        <f ca="1"/>
        <v>44</v>
      </c>
      <c r="N33" t="s">
        <v>55</v>
      </c>
      <c r="O33">
        <v>1</v>
      </c>
      <c r="P33">
        <v>900</v>
      </c>
      <c r="Q33">
        <v>0</v>
      </c>
      <c r="R33">
        <f>O33*P33</f>
        <v>900</v>
      </c>
      <c r="S33" t="s">
        <v>27</v>
      </c>
      <c r="T33" t="str">
        <f>TRIM(S33)</f>
        <v>Card</v>
      </c>
      <c r="U33">
        <v>135</v>
      </c>
      <c r="V33" t="s">
        <v>20</v>
      </c>
      <c r="W33">
        <v>5</v>
      </c>
    </row>
    <row r="34" spans="1:23" hidden="1" x14ac:dyDescent="0.3">
      <c r="A34" t="s">
        <v>125</v>
      </c>
      <c r="B34" s="2">
        <v>46080</v>
      </c>
      <c r="C34" s="2" t="str">
        <v>Feb</v>
      </c>
      <c r="D34" t="s">
        <v>126</v>
      </c>
      <c r="E34" t="s">
        <v>61</v>
      </c>
      <c r="F34" t="str">
        <f>TRIM(E34)</f>
        <v>Nikhil</v>
      </c>
      <c r="G34" t="s">
        <v>65</v>
      </c>
      <c r="H34">
        <v>36</v>
      </c>
      <c r="I34" t="str">
        <f t="shared" si="0"/>
        <v>Jaipur</v>
      </c>
      <c r="J34" t="s">
        <v>127</v>
      </c>
      <c r="K34">
        <f ca="1"/>
        <v>41</v>
      </c>
      <c r="N34" t="s">
        <v>55</v>
      </c>
      <c r="O34">
        <v>3</v>
      </c>
      <c r="P34">
        <v>1200</v>
      </c>
      <c r="Q34">
        <v>10</v>
      </c>
      <c r="R34">
        <f>O34*P34</f>
        <v>3600</v>
      </c>
      <c r="S34" t="s">
        <v>27</v>
      </c>
      <c r="T34" t="str">
        <f>TRIM(S34)</f>
        <v>Card</v>
      </c>
      <c r="U34">
        <v>135</v>
      </c>
      <c r="V34" t="s">
        <v>20</v>
      </c>
      <c r="W34">
        <v>7</v>
      </c>
    </row>
    <row r="35" spans="1:23" x14ac:dyDescent="0.3">
      <c r="A35" t="s">
        <v>128</v>
      </c>
      <c r="B35" s="2">
        <v>46176</v>
      </c>
      <c r="C35" s="2" t="str">
        <v>Jun</v>
      </c>
      <c r="D35" t="s">
        <v>129</v>
      </c>
      <c r="E35" t="s">
        <v>35</v>
      </c>
      <c r="F35" t="str">
        <f>TRIM(E35)</f>
        <v>Rohan</v>
      </c>
      <c r="G35" t="s">
        <v>31</v>
      </c>
      <c r="H35">
        <v>64</v>
      </c>
      <c r="I35" t="str">
        <f t="shared" si="0"/>
        <v>Noida</v>
      </c>
      <c r="J35" t="s">
        <v>68</v>
      </c>
      <c r="K35">
        <f ca="1"/>
        <v>23</v>
      </c>
      <c r="N35" t="s">
        <v>26</v>
      </c>
      <c r="O35">
        <v>1</v>
      </c>
      <c r="P35">
        <v>1678</v>
      </c>
      <c r="Q35">
        <v>0</v>
      </c>
      <c r="R35">
        <f>O35*P35</f>
        <v>1678</v>
      </c>
      <c r="S35" t="s">
        <v>19</v>
      </c>
      <c r="T35" t="str">
        <f>TRIM(S35)</f>
        <v>UPI</v>
      </c>
      <c r="U35">
        <v>200</v>
      </c>
      <c r="V35" t="s">
        <v>20</v>
      </c>
      <c r="W35">
        <v>2</v>
      </c>
    </row>
    <row r="36" spans="1:23" hidden="1" x14ac:dyDescent="0.3">
      <c r="A36" t="s">
        <v>130</v>
      </c>
      <c r="B36" s="2">
        <v>46198</v>
      </c>
      <c r="C36" s="2" t="str">
        <v>Jun</v>
      </c>
      <c r="D36" t="s">
        <v>104</v>
      </c>
      <c r="E36" t="s">
        <v>35</v>
      </c>
      <c r="F36" t="str">
        <f>TRIM(E36)</f>
        <v>Rohan</v>
      </c>
      <c r="G36" t="s">
        <v>16</v>
      </c>
      <c r="H36">
        <v>49</v>
      </c>
      <c r="I36" t="str">
        <f t="shared" si="0"/>
        <v>Lucknow</v>
      </c>
      <c r="J36" t="s">
        <v>131</v>
      </c>
      <c r="K36">
        <f ca="1"/>
        <v>27</v>
      </c>
      <c r="N36" t="s">
        <v>55</v>
      </c>
      <c r="O36">
        <v>1</v>
      </c>
      <c r="P36">
        <v>2700</v>
      </c>
      <c r="Q36">
        <v>20</v>
      </c>
      <c r="R36">
        <f>O36*P36</f>
        <v>2700</v>
      </c>
      <c r="S36" t="s">
        <v>56</v>
      </c>
      <c r="T36" t="str">
        <f>TRIM(S36)</f>
        <v>COD</v>
      </c>
      <c r="U36">
        <v>129</v>
      </c>
      <c r="V36" t="s">
        <v>20</v>
      </c>
      <c r="W36">
        <v>9</v>
      </c>
    </row>
    <row r="37" spans="1:23" hidden="1" x14ac:dyDescent="0.3">
      <c r="A37" t="s">
        <v>132</v>
      </c>
      <c r="B37" s="2">
        <v>46038</v>
      </c>
      <c r="C37" s="2" t="str">
        <v>Jan</v>
      </c>
      <c r="D37" t="s">
        <v>133</v>
      </c>
      <c r="E37" t="s">
        <v>35</v>
      </c>
      <c r="F37" t="str">
        <f>TRIM(E37)</f>
        <v>Rohan</v>
      </c>
      <c r="G37" t="s">
        <v>36</v>
      </c>
      <c r="H37">
        <v>73</v>
      </c>
      <c r="I37" t="str">
        <f t="shared" si="0"/>
        <v>Delhi</v>
      </c>
      <c r="J37" t="s">
        <v>49</v>
      </c>
      <c r="K37">
        <f ca="1"/>
        <v>29</v>
      </c>
      <c r="N37" t="s">
        <v>50</v>
      </c>
      <c r="O37">
        <v>1</v>
      </c>
      <c r="P37">
        <v>2271</v>
      </c>
      <c r="Q37">
        <v>20</v>
      </c>
      <c r="R37">
        <f>O37*P37</f>
        <v>2271</v>
      </c>
      <c r="S37" t="s">
        <v>27</v>
      </c>
      <c r="T37" t="str">
        <f>TRIM(S37)</f>
        <v>Card</v>
      </c>
      <c r="U37">
        <v>135</v>
      </c>
      <c r="V37" t="s">
        <v>20</v>
      </c>
      <c r="W37">
        <v>4</v>
      </c>
    </row>
    <row r="38" spans="1:23" hidden="1" x14ac:dyDescent="0.3">
      <c r="A38" t="s">
        <v>134</v>
      </c>
      <c r="B38" s="2">
        <v>46055</v>
      </c>
      <c r="C38" s="2" t="str">
        <v>Feb</v>
      </c>
      <c r="D38" t="s">
        <v>119</v>
      </c>
      <c r="E38" t="s">
        <v>101</v>
      </c>
      <c r="F38" t="str">
        <f>TRIM(E38)</f>
        <v>Arjun</v>
      </c>
      <c r="G38" t="s">
        <v>40</v>
      </c>
      <c r="H38">
        <v>69</v>
      </c>
      <c r="I38" t="str">
        <f t="shared" si="0"/>
        <v>Gurugram</v>
      </c>
      <c r="J38" t="s">
        <v>135</v>
      </c>
      <c r="K38">
        <f ca="1"/>
        <v>28</v>
      </c>
      <c r="N38" t="s">
        <v>50</v>
      </c>
      <c r="O38">
        <v>1</v>
      </c>
      <c r="P38">
        <v>1103</v>
      </c>
      <c r="Q38">
        <v>25</v>
      </c>
      <c r="R38">
        <f>O38*P38</f>
        <v>1103</v>
      </c>
      <c r="S38" t="s">
        <v>56</v>
      </c>
      <c r="T38" t="str">
        <f>TRIM(S38)</f>
        <v>COD</v>
      </c>
      <c r="U38">
        <v>129</v>
      </c>
      <c r="V38" t="s">
        <v>20</v>
      </c>
      <c r="W38">
        <v>3</v>
      </c>
    </row>
    <row r="39" spans="1:23" hidden="1" x14ac:dyDescent="0.3">
      <c r="A39" t="s">
        <v>136</v>
      </c>
      <c r="B39" s="2">
        <v>46115</v>
      </c>
      <c r="C39" s="2" t="str">
        <v>Apr</v>
      </c>
      <c r="D39" t="s">
        <v>137</v>
      </c>
      <c r="E39" t="s">
        <v>71</v>
      </c>
      <c r="F39" t="str">
        <f>TRIM(E39)</f>
        <v>Riya</v>
      </c>
      <c r="G39" t="s">
        <v>16</v>
      </c>
      <c r="H39">
        <v>49</v>
      </c>
      <c r="I39" t="str">
        <f t="shared" si="0"/>
        <v>Lucknow</v>
      </c>
      <c r="J39" t="s">
        <v>90</v>
      </c>
      <c r="K39">
        <f ca="1"/>
        <v>41</v>
      </c>
      <c r="N39" t="s">
        <v>18</v>
      </c>
      <c r="O39">
        <v>1</v>
      </c>
      <c r="P39">
        <v>33474</v>
      </c>
      <c r="Q39">
        <v>0</v>
      </c>
      <c r="R39">
        <f>O39*P39</f>
        <v>33474</v>
      </c>
      <c r="S39" t="s">
        <v>27</v>
      </c>
      <c r="T39" t="str">
        <f>TRIM(S39)</f>
        <v>Card</v>
      </c>
      <c r="U39">
        <v>135</v>
      </c>
      <c r="V39" t="s">
        <v>20</v>
      </c>
      <c r="W39">
        <v>4</v>
      </c>
    </row>
    <row r="40" spans="1:23" hidden="1" x14ac:dyDescent="0.3">
      <c r="A40" t="s">
        <v>138</v>
      </c>
      <c r="B40" s="2">
        <v>46142</v>
      </c>
      <c r="C40" s="2" t="str">
        <v>Apr</v>
      </c>
      <c r="D40" t="s">
        <v>60</v>
      </c>
      <c r="E40" t="s">
        <v>61</v>
      </c>
      <c r="F40" t="str">
        <f>TRIM(E40)</f>
        <v>Nikhil</v>
      </c>
      <c r="G40" t="s">
        <v>81</v>
      </c>
      <c r="H40">
        <v>35</v>
      </c>
      <c r="I40" t="str">
        <f t="shared" si="0"/>
        <v>Faridabad</v>
      </c>
      <c r="J40" t="s">
        <v>68</v>
      </c>
      <c r="K40">
        <f ca="1"/>
        <v>23</v>
      </c>
      <c r="N40" t="s">
        <v>26</v>
      </c>
      <c r="O40">
        <v>1</v>
      </c>
      <c r="P40">
        <v>403</v>
      </c>
      <c r="Q40">
        <v>15</v>
      </c>
      <c r="R40">
        <f>O40*P40</f>
        <v>403</v>
      </c>
      <c r="S40" t="s">
        <v>56</v>
      </c>
      <c r="T40" t="str">
        <f>TRIM(S40)</f>
        <v>COD</v>
      </c>
      <c r="U40">
        <v>129</v>
      </c>
      <c r="V40" t="s">
        <v>139</v>
      </c>
      <c r="W40">
        <v>1</v>
      </c>
    </row>
    <row r="41" spans="1:23" hidden="1" x14ac:dyDescent="0.3">
      <c r="A41" t="s">
        <v>140</v>
      </c>
      <c r="B41" s="2">
        <v>46174</v>
      </c>
      <c r="C41" s="2" t="str">
        <v>Jun</v>
      </c>
      <c r="D41" t="s">
        <v>74</v>
      </c>
      <c r="E41" t="s">
        <v>75</v>
      </c>
      <c r="F41" t="str">
        <f>TRIM(E41)</f>
        <v>Sneha</v>
      </c>
      <c r="G41" t="s">
        <v>65</v>
      </c>
      <c r="H41">
        <v>36</v>
      </c>
      <c r="I41" t="str">
        <f t="shared" si="0"/>
        <v>Jaipur</v>
      </c>
      <c r="J41" t="s">
        <v>141</v>
      </c>
      <c r="K41">
        <f ca="1"/>
        <v>34</v>
      </c>
      <c r="N41" t="s">
        <v>50</v>
      </c>
      <c r="O41">
        <v>2</v>
      </c>
      <c r="P41">
        <v>1468</v>
      </c>
      <c r="Q41">
        <v>15</v>
      </c>
      <c r="R41">
        <f>O41*P41</f>
        <v>2936</v>
      </c>
      <c r="S41" t="s">
        <v>19</v>
      </c>
      <c r="T41" t="str">
        <f>TRIM(S41)</f>
        <v>UPI</v>
      </c>
      <c r="U41">
        <v>200</v>
      </c>
      <c r="V41" t="s">
        <v>20</v>
      </c>
      <c r="W41">
        <v>2</v>
      </c>
    </row>
    <row r="42" spans="1:23" hidden="1" x14ac:dyDescent="0.3">
      <c r="A42" t="s">
        <v>142</v>
      </c>
      <c r="B42" s="2">
        <v>46084</v>
      </c>
      <c r="C42" s="2" t="str">
        <v>Mar</v>
      </c>
      <c r="D42" t="s">
        <v>143</v>
      </c>
      <c r="E42" t="s">
        <v>101</v>
      </c>
      <c r="F42" t="str">
        <f>TRIM(E42)</f>
        <v>Arjun</v>
      </c>
      <c r="G42" t="s">
        <v>40</v>
      </c>
      <c r="H42">
        <v>69</v>
      </c>
      <c r="I42" t="str">
        <f t="shared" si="0"/>
        <v>Gurugram</v>
      </c>
      <c r="J42" t="s">
        <v>131</v>
      </c>
      <c r="K42">
        <f ca="1"/>
        <v>27</v>
      </c>
      <c r="N42" t="s">
        <v>55</v>
      </c>
      <c r="O42">
        <v>1</v>
      </c>
      <c r="P42">
        <v>3100</v>
      </c>
      <c r="Q42">
        <v>0</v>
      </c>
      <c r="R42">
        <f>O42*P42</f>
        <v>3100</v>
      </c>
      <c r="S42" t="s">
        <v>91</v>
      </c>
      <c r="T42" t="str">
        <f>TRIM(S42)</f>
        <v>Net Banking</v>
      </c>
      <c r="U42">
        <v>36</v>
      </c>
      <c r="V42" t="s">
        <v>20</v>
      </c>
      <c r="W42">
        <v>5</v>
      </c>
    </row>
    <row r="43" spans="1:23" hidden="1" x14ac:dyDescent="0.3">
      <c r="A43" t="s">
        <v>144</v>
      </c>
      <c r="B43" s="2">
        <v>46074</v>
      </c>
      <c r="C43" s="2" t="str">
        <v>Feb</v>
      </c>
      <c r="D43" t="s">
        <v>145</v>
      </c>
      <c r="E43" t="s">
        <v>30</v>
      </c>
      <c r="F43" t="str">
        <f>TRIM(E43)</f>
        <v>Simran</v>
      </c>
      <c r="G43" t="s">
        <v>117</v>
      </c>
      <c r="H43">
        <v>40</v>
      </c>
      <c r="I43" t="str">
        <f t="shared" si="0"/>
        <v>Ghaziabad</v>
      </c>
      <c r="J43" t="s">
        <v>135</v>
      </c>
      <c r="K43">
        <f ca="1"/>
        <v>28</v>
      </c>
      <c r="N43" t="s">
        <v>50</v>
      </c>
      <c r="O43">
        <v>1</v>
      </c>
      <c r="P43">
        <v>592</v>
      </c>
      <c r="Q43">
        <v>5</v>
      </c>
      <c r="R43">
        <f>O43*P43</f>
        <v>592</v>
      </c>
      <c r="S43" t="s">
        <v>27</v>
      </c>
      <c r="T43" t="str">
        <f>TRIM(S43)</f>
        <v>Card</v>
      </c>
      <c r="U43">
        <v>135</v>
      </c>
      <c r="V43" t="s">
        <v>20</v>
      </c>
      <c r="W43">
        <v>3</v>
      </c>
    </row>
    <row r="44" spans="1:23" hidden="1" x14ac:dyDescent="0.3">
      <c r="A44" t="s">
        <v>146</v>
      </c>
      <c r="B44" s="2">
        <v>46166</v>
      </c>
      <c r="C44" s="2" t="str">
        <v>May</v>
      </c>
      <c r="D44" t="s">
        <v>126</v>
      </c>
      <c r="E44" t="s">
        <v>61</v>
      </c>
      <c r="F44" t="str">
        <f>TRIM(E44)</f>
        <v>Nikhil</v>
      </c>
      <c r="G44" t="s">
        <v>16</v>
      </c>
      <c r="H44">
        <v>49</v>
      </c>
      <c r="I44" t="str">
        <f t="shared" si="0"/>
        <v>Lucknow</v>
      </c>
      <c r="J44" t="s">
        <v>90</v>
      </c>
      <c r="K44">
        <f ca="1"/>
        <v>41</v>
      </c>
      <c r="N44" t="s">
        <v>18</v>
      </c>
      <c r="O44">
        <v>1</v>
      </c>
      <c r="P44">
        <v>46025</v>
      </c>
      <c r="Q44">
        <v>10</v>
      </c>
      <c r="R44">
        <f>O44*P44</f>
        <v>46025</v>
      </c>
      <c r="S44" t="s">
        <v>27</v>
      </c>
      <c r="T44" t="str">
        <f>TRIM(S44)</f>
        <v>Card</v>
      </c>
      <c r="U44">
        <v>135</v>
      </c>
      <c r="V44" t="s">
        <v>20</v>
      </c>
      <c r="W44">
        <v>2</v>
      </c>
    </row>
    <row r="45" spans="1:23" hidden="1" x14ac:dyDescent="0.3">
      <c r="A45" t="s">
        <v>147</v>
      </c>
      <c r="B45" s="2">
        <v>46031</v>
      </c>
      <c r="C45" s="2" t="str">
        <v>Jan</v>
      </c>
      <c r="D45" t="s">
        <v>148</v>
      </c>
      <c r="E45" t="s">
        <v>149</v>
      </c>
      <c r="F45" t="str">
        <f>TRIM(E45)</f>
        <v>Rahul</v>
      </c>
      <c r="G45" t="s">
        <v>16</v>
      </c>
      <c r="H45">
        <v>49</v>
      </c>
      <c r="I45" t="str">
        <f t="shared" si="0"/>
        <v>Lucknow</v>
      </c>
      <c r="J45" t="s">
        <v>135</v>
      </c>
      <c r="K45">
        <f ca="1"/>
        <v>28</v>
      </c>
      <c r="N45" t="s">
        <v>50</v>
      </c>
      <c r="O45">
        <v>1</v>
      </c>
      <c r="P45">
        <v>665</v>
      </c>
      <c r="Q45">
        <v>15</v>
      </c>
      <c r="R45">
        <f>O45*P45</f>
        <v>665</v>
      </c>
      <c r="S45" t="s">
        <v>19</v>
      </c>
      <c r="T45" t="str">
        <f>TRIM(S45)</f>
        <v>UPI</v>
      </c>
      <c r="U45">
        <v>200</v>
      </c>
      <c r="V45" t="s">
        <v>20</v>
      </c>
      <c r="W45">
        <v>3</v>
      </c>
    </row>
    <row r="46" spans="1:23" hidden="1" x14ac:dyDescent="0.3">
      <c r="A46" t="s">
        <v>150</v>
      </c>
      <c r="B46" s="2">
        <v>46027</v>
      </c>
      <c r="C46" s="2" t="str">
        <v>Jan</v>
      </c>
      <c r="D46" t="s">
        <v>151</v>
      </c>
      <c r="E46" t="s">
        <v>98</v>
      </c>
      <c r="F46" t="str">
        <f>TRIM(E46)</f>
        <v>Meera</v>
      </c>
      <c r="G46" t="s">
        <v>40</v>
      </c>
      <c r="H46">
        <v>69</v>
      </c>
      <c r="I46" t="str">
        <f t="shared" si="0"/>
        <v>Gurugram</v>
      </c>
      <c r="J46" t="s">
        <v>17</v>
      </c>
      <c r="K46">
        <f ca="1"/>
        <v>55</v>
      </c>
      <c r="N46" t="s">
        <v>18</v>
      </c>
      <c r="O46">
        <v>3</v>
      </c>
      <c r="P46">
        <v>1200</v>
      </c>
      <c r="Q46">
        <v>5</v>
      </c>
      <c r="R46">
        <f>O46*P46</f>
        <v>3600</v>
      </c>
      <c r="S46" t="s">
        <v>56</v>
      </c>
      <c r="T46" t="str">
        <f>TRIM(S46)</f>
        <v>COD</v>
      </c>
      <c r="U46">
        <v>129</v>
      </c>
      <c r="V46" t="s">
        <v>20</v>
      </c>
      <c r="W46">
        <v>5</v>
      </c>
    </row>
    <row r="47" spans="1:23" hidden="1" x14ac:dyDescent="0.3">
      <c r="A47" t="s">
        <v>152</v>
      </c>
      <c r="B47" s="2">
        <v>46130</v>
      </c>
      <c r="C47" s="2" t="str">
        <v>Apr</v>
      </c>
      <c r="D47" t="s">
        <v>153</v>
      </c>
      <c r="E47" t="s">
        <v>80</v>
      </c>
      <c r="F47" t="str">
        <f>TRIM(E47)</f>
        <v>Varun</v>
      </c>
      <c r="G47" t="s">
        <v>117</v>
      </c>
      <c r="H47">
        <v>40</v>
      </c>
      <c r="I47" t="str">
        <f t="shared" si="0"/>
        <v>Ghaziabad</v>
      </c>
      <c r="J47" t="s">
        <v>124</v>
      </c>
      <c r="K47">
        <f ca="1"/>
        <v>44</v>
      </c>
      <c r="N47" t="s">
        <v>55</v>
      </c>
      <c r="O47">
        <v>1</v>
      </c>
      <c r="P47">
        <v>2300</v>
      </c>
      <c r="Q47">
        <v>10</v>
      </c>
      <c r="R47">
        <f>O47*P47</f>
        <v>2300</v>
      </c>
      <c r="S47" t="s">
        <v>19</v>
      </c>
      <c r="T47" t="str">
        <f>TRIM(S47)</f>
        <v>UPI</v>
      </c>
      <c r="U47">
        <v>200</v>
      </c>
      <c r="V47" t="s">
        <v>20</v>
      </c>
      <c r="W47">
        <v>3</v>
      </c>
    </row>
    <row r="48" spans="1:23" hidden="1" x14ac:dyDescent="0.3">
      <c r="A48" t="s">
        <v>154</v>
      </c>
      <c r="B48" s="2">
        <v>46170</v>
      </c>
      <c r="C48" s="2" t="str">
        <v>May</v>
      </c>
      <c r="D48" t="s">
        <v>155</v>
      </c>
      <c r="E48" t="s">
        <v>39</v>
      </c>
      <c r="F48" t="str">
        <f>TRIM(E48)</f>
        <v>Aman</v>
      </c>
      <c r="G48" t="s">
        <v>36</v>
      </c>
      <c r="H48">
        <v>73</v>
      </c>
      <c r="I48" t="str">
        <f t="shared" si="0"/>
        <v>Delhi</v>
      </c>
      <c r="J48" t="s">
        <v>156</v>
      </c>
      <c r="K48">
        <f ca="1"/>
        <v>35</v>
      </c>
      <c r="N48" t="s">
        <v>18</v>
      </c>
      <c r="O48">
        <v>2</v>
      </c>
      <c r="P48">
        <v>11958</v>
      </c>
      <c r="Q48">
        <v>10</v>
      </c>
      <c r="R48">
        <f>O48*P48</f>
        <v>23916</v>
      </c>
      <c r="S48" t="s">
        <v>91</v>
      </c>
      <c r="T48" t="str">
        <f>TRIM(S48)</f>
        <v>Net Banking</v>
      </c>
      <c r="U48">
        <v>36</v>
      </c>
      <c r="V48" t="s">
        <v>20</v>
      </c>
      <c r="W48">
        <v>4</v>
      </c>
    </row>
    <row r="49" spans="1:23" hidden="1" x14ac:dyDescent="0.3">
      <c r="A49" t="s">
        <v>157</v>
      </c>
      <c r="B49" s="2">
        <v>46139</v>
      </c>
      <c r="C49" s="2" t="str">
        <v>Apr</v>
      </c>
      <c r="D49" t="s">
        <v>84</v>
      </c>
      <c r="E49" t="s">
        <v>35</v>
      </c>
      <c r="F49" t="str">
        <f>TRIM(E49)</f>
        <v>Rohan</v>
      </c>
      <c r="G49" t="s">
        <v>24</v>
      </c>
      <c r="H49">
        <v>35</v>
      </c>
      <c r="I49" t="str">
        <f t="shared" si="0"/>
        <v>Chandigarh</v>
      </c>
      <c r="J49" t="s">
        <v>17</v>
      </c>
      <c r="K49">
        <f ca="1"/>
        <v>55</v>
      </c>
      <c r="N49" t="s">
        <v>18</v>
      </c>
      <c r="O49">
        <v>1</v>
      </c>
      <c r="P49">
        <v>51404</v>
      </c>
      <c r="Q49">
        <v>0</v>
      </c>
      <c r="R49">
        <f>O49*P49</f>
        <v>51404</v>
      </c>
      <c r="S49" t="s">
        <v>91</v>
      </c>
      <c r="T49" t="str">
        <f>TRIM(S49)</f>
        <v>Net Banking</v>
      </c>
      <c r="U49">
        <v>36</v>
      </c>
      <c r="V49" t="s">
        <v>46</v>
      </c>
      <c r="W49">
        <v>0</v>
      </c>
    </row>
    <row r="50" spans="1:23" hidden="1" x14ac:dyDescent="0.3">
      <c r="A50" t="s">
        <v>158</v>
      </c>
      <c r="B50" s="2">
        <v>46169</v>
      </c>
      <c r="C50" s="2" t="str">
        <v>May</v>
      </c>
      <c r="D50" t="s">
        <v>129</v>
      </c>
      <c r="E50" t="s">
        <v>35</v>
      </c>
      <c r="F50" t="str">
        <f>TRIM(E50)</f>
        <v>Rohan</v>
      </c>
      <c r="G50" t="s">
        <v>24</v>
      </c>
      <c r="H50">
        <v>35</v>
      </c>
      <c r="I50" t="str">
        <f t="shared" si="0"/>
        <v>Chandigarh</v>
      </c>
      <c r="J50" t="s">
        <v>49</v>
      </c>
      <c r="K50">
        <f ca="1"/>
        <v>29</v>
      </c>
      <c r="N50" t="s">
        <v>50</v>
      </c>
      <c r="O50">
        <v>2</v>
      </c>
      <c r="P50">
        <v>1468</v>
      </c>
      <c r="Q50">
        <v>10</v>
      </c>
      <c r="R50">
        <f>O50*P50</f>
        <v>2936</v>
      </c>
      <c r="S50" t="s">
        <v>27</v>
      </c>
      <c r="T50" t="str">
        <f>TRIM(S50)</f>
        <v>Card</v>
      </c>
      <c r="U50">
        <v>135</v>
      </c>
      <c r="V50" t="s">
        <v>20</v>
      </c>
      <c r="W50">
        <v>3</v>
      </c>
    </row>
    <row r="51" spans="1:23" hidden="1" x14ac:dyDescent="0.3">
      <c r="A51" t="s">
        <v>159</v>
      </c>
      <c r="B51" s="2">
        <v>46034</v>
      </c>
      <c r="C51" s="2" t="str">
        <v>Jan</v>
      </c>
      <c r="D51" t="s">
        <v>160</v>
      </c>
      <c r="E51" t="s">
        <v>161</v>
      </c>
      <c r="F51" t="str">
        <f>TRIM(E51)</f>
        <v>Ananya</v>
      </c>
      <c r="G51" t="s">
        <v>24</v>
      </c>
      <c r="H51">
        <v>35</v>
      </c>
      <c r="I51" t="str">
        <f t="shared" si="0"/>
        <v>Chandigarh</v>
      </c>
      <c r="J51" t="s">
        <v>32</v>
      </c>
      <c r="K51">
        <f ca="1"/>
        <v>36</v>
      </c>
      <c r="N51" t="s">
        <v>18</v>
      </c>
      <c r="O51">
        <v>1</v>
      </c>
      <c r="P51">
        <v>42439</v>
      </c>
      <c r="Q51">
        <v>5</v>
      </c>
      <c r="R51">
        <f>O51*P51</f>
        <v>42439</v>
      </c>
      <c r="S51" t="s">
        <v>19</v>
      </c>
      <c r="T51" t="str">
        <f>TRIM(S51)</f>
        <v>UPI</v>
      </c>
      <c r="U51">
        <v>200</v>
      </c>
      <c r="V51" t="s">
        <v>20</v>
      </c>
      <c r="W51">
        <v>5</v>
      </c>
    </row>
    <row r="52" spans="1:23" x14ac:dyDescent="0.3">
      <c r="A52" t="s">
        <v>162</v>
      </c>
      <c r="B52" s="2">
        <v>46063</v>
      </c>
      <c r="C52" s="2" t="str">
        <v>Feb</v>
      </c>
      <c r="D52" t="s">
        <v>163</v>
      </c>
      <c r="E52" t="s">
        <v>39</v>
      </c>
      <c r="F52" t="str">
        <f>TRIM(E52)</f>
        <v>Aman</v>
      </c>
      <c r="G52" t="s">
        <v>31</v>
      </c>
      <c r="H52">
        <v>64</v>
      </c>
      <c r="I52" t="str">
        <f t="shared" si="0"/>
        <v>Noida</v>
      </c>
      <c r="J52" t="s">
        <v>127</v>
      </c>
      <c r="K52">
        <f ca="1"/>
        <v>41</v>
      </c>
      <c r="N52" t="s">
        <v>55</v>
      </c>
      <c r="O52">
        <v>1</v>
      </c>
      <c r="P52">
        <v>1300</v>
      </c>
      <c r="Q52">
        <v>15</v>
      </c>
      <c r="R52">
        <f>O52*P52</f>
        <v>1300</v>
      </c>
      <c r="S52" t="s">
        <v>27</v>
      </c>
      <c r="T52" t="str">
        <f>TRIM(S52)</f>
        <v>Card</v>
      </c>
      <c r="U52">
        <v>135</v>
      </c>
      <c r="V52" t="s">
        <v>20</v>
      </c>
      <c r="W52">
        <v>2</v>
      </c>
    </row>
    <row r="53" spans="1:23" hidden="1" x14ac:dyDescent="0.3">
      <c r="A53" t="s">
        <v>164</v>
      </c>
      <c r="B53" s="2">
        <v>46057</v>
      </c>
      <c r="C53" s="2" t="str">
        <v>Feb</v>
      </c>
      <c r="D53" t="s">
        <v>165</v>
      </c>
      <c r="E53" t="s">
        <v>80</v>
      </c>
      <c r="F53" t="str">
        <f>TRIM(E53)</f>
        <v>Varun</v>
      </c>
      <c r="G53" t="s">
        <v>16</v>
      </c>
      <c r="H53">
        <v>49</v>
      </c>
      <c r="I53" t="str">
        <f t="shared" si="0"/>
        <v>Lucknow</v>
      </c>
      <c r="J53" t="s">
        <v>95</v>
      </c>
      <c r="K53">
        <f ca="1"/>
        <v>28</v>
      </c>
      <c r="N53" t="s">
        <v>45</v>
      </c>
      <c r="O53">
        <v>3</v>
      </c>
      <c r="P53">
        <v>850</v>
      </c>
      <c r="Q53">
        <v>0</v>
      </c>
      <c r="R53">
        <f>O53*P53</f>
        <v>2550</v>
      </c>
      <c r="S53" t="s">
        <v>56</v>
      </c>
      <c r="T53" t="str">
        <f>TRIM(S53)</f>
        <v>COD</v>
      </c>
      <c r="U53">
        <v>129</v>
      </c>
      <c r="V53" t="s">
        <v>20</v>
      </c>
      <c r="W53">
        <v>1</v>
      </c>
    </row>
    <row r="54" spans="1:23" hidden="1" x14ac:dyDescent="0.3">
      <c r="A54" t="s">
        <v>166</v>
      </c>
      <c r="B54" s="2">
        <v>46087</v>
      </c>
      <c r="C54" s="2" t="str">
        <v>Mar</v>
      </c>
      <c r="D54" t="s">
        <v>167</v>
      </c>
      <c r="E54" t="s">
        <v>161</v>
      </c>
      <c r="F54" t="str">
        <f>TRIM(E54)</f>
        <v>Ananya</v>
      </c>
      <c r="G54" t="s">
        <v>40</v>
      </c>
      <c r="H54">
        <v>69</v>
      </c>
      <c r="I54" t="str">
        <f t="shared" si="0"/>
        <v>Gurugram</v>
      </c>
      <c r="J54" t="s">
        <v>85</v>
      </c>
      <c r="K54">
        <f ca="1"/>
        <v>30</v>
      </c>
      <c r="N54" t="s">
        <v>45</v>
      </c>
      <c r="O54">
        <v>2</v>
      </c>
      <c r="P54">
        <v>1150</v>
      </c>
      <c r="Q54">
        <v>5</v>
      </c>
      <c r="R54">
        <f>O54*P54</f>
        <v>2300</v>
      </c>
      <c r="S54" t="s">
        <v>56</v>
      </c>
      <c r="T54" t="str">
        <f>TRIM(S54)</f>
        <v>COD</v>
      </c>
      <c r="U54">
        <v>129</v>
      </c>
      <c r="V54" t="s">
        <v>20</v>
      </c>
      <c r="W54">
        <v>1</v>
      </c>
    </row>
    <row r="55" spans="1:23" hidden="1" x14ac:dyDescent="0.3">
      <c r="A55" t="s">
        <v>168</v>
      </c>
      <c r="B55" s="2">
        <v>46120</v>
      </c>
      <c r="C55" s="2" t="str">
        <v>Apr</v>
      </c>
      <c r="D55" t="s">
        <v>169</v>
      </c>
      <c r="E55" t="s">
        <v>75</v>
      </c>
      <c r="F55" t="str">
        <f>TRIM(E55)</f>
        <v>Sneha</v>
      </c>
      <c r="G55" t="s">
        <v>36</v>
      </c>
      <c r="H55">
        <v>73</v>
      </c>
      <c r="I55" t="str">
        <f t="shared" si="0"/>
        <v>Delhi</v>
      </c>
      <c r="J55" t="s">
        <v>17</v>
      </c>
      <c r="K55">
        <f ca="1"/>
        <v>55</v>
      </c>
      <c r="N55" t="s">
        <v>18</v>
      </c>
      <c r="O55">
        <v>1</v>
      </c>
      <c r="P55">
        <v>28095</v>
      </c>
      <c r="Q55">
        <v>10</v>
      </c>
      <c r="R55">
        <f>O55*P55</f>
        <v>28095</v>
      </c>
      <c r="S55" t="s">
        <v>27</v>
      </c>
      <c r="T55" t="str">
        <f>TRIM(S55)</f>
        <v>Card</v>
      </c>
      <c r="U55">
        <v>135</v>
      </c>
      <c r="V55" t="s">
        <v>20</v>
      </c>
      <c r="W55">
        <v>4</v>
      </c>
    </row>
    <row r="56" spans="1:23" hidden="1" x14ac:dyDescent="0.3">
      <c r="A56" t="s">
        <v>170</v>
      </c>
      <c r="B56" s="2">
        <v>46187</v>
      </c>
      <c r="C56" s="2" t="str">
        <v>Jun</v>
      </c>
      <c r="D56" t="s">
        <v>74</v>
      </c>
      <c r="E56" t="s">
        <v>75</v>
      </c>
      <c r="F56" t="str">
        <f>TRIM(E56)</f>
        <v>Sneha</v>
      </c>
      <c r="G56" t="s">
        <v>81</v>
      </c>
      <c r="H56">
        <v>35</v>
      </c>
      <c r="I56" t="str">
        <f t="shared" si="0"/>
        <v>Faridabad</v>
      </c>
      <c r="J56" t="s">
        <v>131</v>
      </c>
      <c r="K56">
        <f ca="1"/>
        <v>27</v>
      </c>
      <c r="N56" t="s">
        <v>55</v>
      </c>
      <c r="O56">
        <v>1</v>
      </c>
      <c r="P56">
        <v>1800</v>
      </c>
      <c r="Q56">
        <v>5</v>
      </c>
      <c r="R56">
        <f>O56*P56</f>
        <v>1800</v>
      </c>
      <c r="S56" t="s">
        <v>19</v>
      </c>
      <c r="T56" t="str">
        <f>TRIM(S56)</f>
        <v>UPI</v>
      </c>
      <c r="U56">
        <v>200</v>
      </c>
      <c r="V56" t="s">
        <v>20</v>
      </c>
      <c r="W56">
        <v>6</v>
      </c>
    </row>
    <row r="57" spans="1:23" hidden="1" x14ac:dyDescent="0.3">
      <c r="A57" t="s">
        <v>171</v>
      </c>
      <c r="B57" s="2">
        <v>46054</v>
      </c>
      <c r="C57" s="2" t="str">
        <v>Feb</v>
      </c>
      <c r="D57" t="s">
        <v>172</v>
      </c>
      <c r="E57" t="s">
        <v>71</v>
      </c>
      <c r="F57" t="str">
        <f>TRIM(E57)</f>
        <v>Riya</v>
      </c>
      <c r="G57" t="s">
        <v>36</v>
      </c>
      <c r="H57">
        <v>73</v>
      </c>
      <c r="I57" t="str">
        <f t="shared" si="0"/>
        <v>Delhi</v>
      </c>
      <c r="J57" t="s">
        <v>124</v>
      </c>
      <c r="K57">
        <f ca="1"/>
        <v>44</v>
      </c>
      <c r="N57" t="s">
        <v>55</v>
      </c>
      <c r="O57">
        <v>1</v>
      </c>
      <c r="P57">
        <v>3000</v>
      </c>
      <c r="Q57">
        <v>15</v>
      </c>
      <c r="R57">
        <f>O57*P57</f>
        <v>3000</v>
      </c>
      <c r="S57" t="s">
        <v>27</v>
      </c>
      <c r="T57" t="str">
        <f>TRIM(S57)</f>
        <v>Card</v>
      </c>
      <c r="U57">
        <v>135</v>
      </c>
      <c r="V57" t="s">
        <v>20</v>
      </c>
      <c r="W57">
        <v>7</v>
      </c>
    </row>
    <row r="58" spans="1:23" hidden="1" x14ac:dyDescent="0.3">
      <c r="A58" t="s">
        <v>173</v>
      </c>
      <c r="B58" s="2">
        <v>46167</v>
      </c>
      <c r="C58" s="2" t="str">
        <v>May</v>
      </c>
      <c r="D58" t="s">
        <v>79</v>
      </c>
      <c r="E58" t="s">
        <v>80</v>
      </c>
      <c r="F58" t="str">
        <f>TRIM(E58)</f>
        <v>Varun</v>
      </c>
      <c r="G58" t="s">
        <v>36</v>
      </c>
      <c r="H58">
        <v>73</v>
      </c>
      <c r="I58" t="str">
        <f t="shared" si="0"/>
        <v>Delhi</v>
      </c>
      <c r="J58" t="s">
        <v>17</v>
      </c>
      <c r="K58">
        <f ca="1"/>
        <v>55</v>
      </c>
      <c r="N58" t="s">
        <v>18</v>
      </c>
      <c r="O58">
        <v>1</v>
      </c>
      <c r="P58">
        <v>37060</v>
      </c>
      <c r="Q58">
        <v>15</v>
      </c>
      <c r="R58">
        <f>O58*P58</f>
        <v>37060</v>
      </c>
      <c r="S58" t="s">
        <v>56</v>
      </c>
      <c r="T58" t="str">
        <f>TRIM(S58)</f>
        <v>COD</v>
      </c>
      <c r="U58">
        <v>129</v>
      </c>
      <c r="V58" t="s">
        <v>20</v>
      </c>
      <c r="W58">
        <v>6</v>
      </c>
    </row>
    <row r="59" spans="1:23" hidden="1" x14ac:dyDescent="0.3">
      <c r="A59" t="s">
        <v>174</v>
      </c>
      <c r="B59" s="2">
        <v>46072</v>
      </c>
      <c r="C59" s="2" t="str">
        <v>Feb</v>
      </c>
      <c r="D59" t="s">
        <v>29</v>
      </c>
      <c r="E59" t="s">
        <v>30</v>
      </c>
      <c r="F59" t="str">
        <f>TRIM(E59)</f>
        <v>Simran</v>
      </c>
      <c r="G59" t="s">
        <v>117</v>
      </c>
      <c r="H59">
        <v>40</v>
      </c>
      <c r="I59" t="str">
        <f t="shared" si="0"/>
        <v>Ghaziabad</v>
      </c>
      <c r="J59" t="s">
        <v>54</v>
      </c>
      <c r="K59">
        <f ca="1"/>
        <v>31</v>
      </c>
      <c r="N59" t="s">
        <v>55</v>
      </c>
      <c r="O59">
        <v>3</v>
      </c>
      <c r="P59">
        <v>2300</v>
      </c>
      <c r="Q59">
        <v>5</v>
      </c>
      <c r="R59">
        <f>O59*P59</f>
        <v>6900</v>
      </c>
      <c r="S59" t="s">
        <v>27</v>
      </c>
      <c r="T59" t="str">
        <f>TRIM(S59)</f>
        <v>Card</v>
      </c>
      <c r="U59">
        <v>135</v>
      </c>
      <c r="V59" t="s">
        <v>20</v>
      </c>
      <c r="W59">
        <v>7</v>
      </c>
    </row>
    <row r="60" spans="1:23" hidden="1" x14ac:dyDescent="0.3">
      <c r="A60" t="s">
        <v>175</v>
      </c>
      <c r="B60" s="2">
        <v>46103</v>
      </c>
      <c r="C60" s="2" t="str">
        <v>Mar</v>
      </c>
      <c r="D60" t="s">
        <v>176</v>
      </c>
      <c r="E60" t="s">
        <v>39</v>
      </c>
      <c r="F60" t="str">
        <f>TRIM(E60)</f>
        <v>Aman</v>
      </c>
      <c r="G60" t="s">
        <v>24</v>
      </c>
      <c r="H60">
        <v>35</v>
      </c>
      <c r="I60" t="str">
        <f t="shared" si="0"/>
        <v>Chandigarh</v>
      </c>
      <c r="J60" t="s">
        <v>156</v>
      </c>
      <c r="K60">
        <f ca="1"/>
        <v>35</v>
      </c>
      <c r="N60" t="s">
        <v>18</v>
      </c>
      <c r="O60">
        <v>2</v>
      </c>
      <c r="P60">
        <v>17337</v>
      </c>
      <c r="Q60">
        <v>0</v>
      </c>
      <c r="R60">
        <f>O60*P60</f>
        <v>34674</v>
      </c>
      <c r="S60" t="s">
        <v>19</v>
      </c>
      <c r="T60" t="str">
        <f>TRIM(S60)</f>
        <v>UPI</v>
      </c>
      <c r="U60">
        <v>200</v>
      </c>
      <c r="V60" t="s">
        <v>20</v>
      </c>
      <c r="W60">
        <v>2</v>
      </c>
    </row>
    <row r="61" spans="1:23" x14ac:dyDescent="0.3">
      <c r="A61" t="s">
        <v>177</v>
      </c>
      <c r="B61" s="2">
        <v>46065</v>
      </c>
      <c r="C61" s="2" t="str">
        <v>Feb</v>
      </c>
      <c r="D61" t="s">
        <v>60</v>
      </c>
      <c r="E61" t="s">
        <v>61</v>
      </c>
      <c r="F61" t="str">
        <f>TRIM(E61)</f>
        <v>Nikhil</v>
      </c>
      <c r="G61" t="s">
        <v>31</v>
      </c>
      <c r="H61">
        <v>64</v>
      </c>
      <c r="I61" t="str">
        <f t="shared" si="0"/>
        <v>Noida</v>
      </c>
      <c r="J61" t="s">
        <v>156</v>
      </c>
      <c r="K61">
        <f ca="1"/>
        <v>35</v>
      </c>
      <c r="N61" t="s">
        <v>18</v>
      </c>
      <c r="O61">
        <v>1</v>
      </c>
      <c r="P61">
        <v>40646</v>
      </c>
      <c r="Q61">
        <v>0</v>
      </c>
      <c r="R61">
        <f>O61*P61</f>
        <v>40646</v>
      </c>
      <c r="S61" t="s">
        <v>19</v>
      </c>
      <c r="T61" t="str">
        <f>TRIM(S61)</f>
        <v>UPI</v>
      </c>
      <c r="U61">
        <v>200</v>
      </c>
      <c r="V61" t="s">
        <v>20</v>
      </c>
      <c r="W61">
        <v>3</v>
      </c>
    </row>
    <row r="62" spans="1:23" hidden="1" x14ac:dyDescent="0.3">
      <c r="A62" t="s">
        <v>178</v>
      </c>
      <c r="B62" s="2">
        <v>46177</v>
      </c>
      <c r="C62" s="2" t="str">
        <v>Jun</v>
      </c>
      <c r="D62" t="s">
        <v>179</v>
      </c>
      <c r="E62" t="s">
        <v>23</v>
      </c>
      <c r="F62" t="str">
        <f>TRIM(E62)</f>
        <v>Pooja</v>
      </c>
      <c r="G62" t="s">
        <v>81</v>
      </c>
      <c r="H62">
        <v>35</v>
      </c>
      <c r="I62" t="str">
        <f t="shared" si="0"/>
        <v>Faridabad</v>
      </c>
      <c r="J62" t="s">
        <v>90</v>
      </c>
      <c r="K62">
        <f ca="1"/>
        <v>41</v>
      </c>
      <c r="N62" t="s">
        <v>18</v>
      </c>
      <c r="O62">
        <v>1</v>
      </c>
      <c r="P62">
        <v>33474</v>
      </c>
      <c r="Q62">
        <v>0</v>
      </c>
      <c r="R62">
        <f>O62*P62</f>
        <v>33474</v>
      </c>
      <c r="S62" t="s">
        <v>19</v>
      </c>
      <c r="T62" t="str">
        <f>TRIM(S62)</f>
        <v>UPI</v>
      </c>
      <c r="U62">
        <v>200</v>
      </c>
      <c r="V62" t="s">
        <v>20</v>
      </c>
      <c r="W62">
        <v>2</v>
      </c>
    </row>
    <row r="63" spans="1:23" hidden="1" x14ac:dyDescent="0.3">
      <c r="A63" t="s">
        <v>180</v>
      </c>
      <c r="B63" s="2">
        <v>46092</v>
      </c>
      <c r="C63" s="2" t="str">
        <v>Mar</v>
      </c>
      <c r="D63" t="s">
        <v>181</v>
      </c>
      <c r="E63" t="s">
        <v>61</v>
      </c>
      <c r="F63" t="str">
        <f>TRIM(E63)</f>
        <v>Nikhil</v>
      </c>
      <c r="G63" t="s">
        <v>36</v>
      </c>
      <c r="H63">
        <v>73</v>
      </c>
      <c r="I63" t="str">
        <f t="shared" si="0"/>
        <v>Delhi</v>
      </c>
      <c r="J63" t="s">
        <v>124</v>
      </c>
      <c r="K63">
        <f ca="1"/>
        <v>44</v>
      </c>
      <c r="N63" t="s">
        <v>55</v>
      </c>
      <c r="O63">
        <v>1</v>
      </c>
      <c r="P63">
        <v>1800</v>
      </c>
      <c r="Q63">
        <v>10</v>
      </c>
      <c r="R63">
        <f>O63*P63</f>
        <v>1800</v>
      </c>
      <c r="S63" t="s">
        <v>27</v>
      </c>
      <c r="T63" t="str">
        <f>TRIM(S63)</f>
        <v>Card</v>
      </c>
      <c r="U63">
        <v>135</v>
      </c>
      <c r="V63" t="s">
        <v>20</v>
      </c>
      <c r="W63">
        <v>5</v>
      </c>
    </row>
    <row r="64" spans="1:23" hidden="1" x14ac:dyDescent="0.3">
      <c r="A64" t="s">
        <v>182</v>
      </c>
      <c r="B64" s="2">
        <v>46116</v>
      </c>
      <c r="C64" s="2" t="str">
        <v>Apr</v>
      </c>
      <c r="D64" t="s">
        <v>183</v>
      </c>
      <c r="E64" t="s">
        <v>184</v>
      </c>
      <c r="F64" t="str">
        <f>TRIM(E64)</f>
        <v>Kavya</v>
      </c>
      <c r="G64" t="s">
        <v>36</v>
      </c>
      <c r="H64">
        <v>73</v>
      </c>
      <c r="I64" t="str">
        <f t="shared" si="0"/>
        <v>Delhi</v>
      </c>
      <c r="J64" t="s">
        <v>127</v>
      </c>
      <c r="K64">
        <f ca="1"/>
        <v>41</v>
      </c>
      <c r="N64" t="s">
        <v>55</v>
      </c>
      <c r="O64">
        <v>2</v>
      </c>
      <c r="P64">
        <v>3000</v>
      </c>
      <c r="Q64">
        <v>0</v>
      </c>
      <c r="R64">
        <f>O64*P64</f>
        <v>6000</v>
      </c>
      <c r="S64" t="s">
        <v>27</v>
      </c>
      <c r="T64" t="str">
        <f>TRIM(S64)</f>
        <v>Card</v>
      </c>
      <c r="U64">
        <v>135</v>
      </c>
      <c r="V64" t="s">
        <v>139</v>
      </c>
      <c r="W64">
        <v>6</v>
      </c>
    </row>
    <row r="65" spans="1:23" hidden="1" x14ac:dyDescent="0.3">
      <c r="A65" t="s">
        <v>185</v>
      </c>
      <c r="B65" s="2">
        <v>46149</v>
      </c>
      <c r="C65" s="2" t="str">
        <v>May</v>
      </c>
      <c r="D65" t="s">
        <v>145</v>
      </c>
      <c r="E65" t="s">
        <v>30</v>
      </c>
      <c r="F65" t="str">
        <f>TRIM(E65)</f>
        <v>Simran</v>
      </c>
      <c r="G65" t="s">
        <v>65</v>
      </c>
      <c r="H65">
        <v>36</v>
      </c>
      <c r="I65" t="str">
        <f t="shared" si="0"/>
        <v>Jaipur</v>
      </c>
      <c r="J65" t="s">
        <v>32</v>
      </c>
      <c r="K65">
        <f ca="1"/>
        <v>36</v>
      </c>
      <c r="N65" t="s">
        <v>18</v>
      </c>
      <c r="O65">
        <v>1</v>
      </c>
      <c r="P65">
        <v>40646</v>
      </c>
      <c r="Q65">
        <v>15</v>
      </c>
      <c r="R65">
        <f>O65*P65</f>
        <v>40646</v>
      </c>
      <c r="S65" t="s">
        <v>19</v>
      </c>
      <c r="T65" t="str">
        <f>TRIM(S65)</f>
        <v>UPI</v>
      </c>
      <c r="U65">
        <v>200</v>
      </c>
      <c r="V65" t="s">
        <v>20</v>
      </c>
      <c r="W65">
        <v>4</v>
      </c>
    </row>
    <row r="66" spans="1:23" hidden="1" x14ac:dyDescent="0.3">
      <c r="A66" t="s">
        <v>186</v>
      </c>
      <c r="B66" s="2">
        <v>46129</v>
      </c>
      <c r="C66" s="2" t="str">
        <v>Apr</v>
      </c>
      <c r="D66" t="s">
        <v>187</v>
      </c>
      <c r="E66" t="s">
        <v>98</v>
      </c>
      <c r="F66" t="str">
        <f>TRIM(E66)</f>
        <v>Meera</v>
      </c>
      <c r="G66" t="s">
        <v>40</v>
      </c>
      <c r="H66">
        <v>69</v>
      </c>
      <c r="I66" t="str">
        <f t="shared" si="0"/>
        <v>Gurugram</v>
      </c>
      <c r="J66" t="s">
        <v>90</v>
      </c>
      <c r="K66">
        <f ca="1"/>
        <v>41</v>
      </c>
      <c r="N66" t="s">
        <v>18</v>
      </c>
      <c r="O66">
        <v>1</v>
      </c>
      <c r="P66">
        <v>10165</v>
      </c>
      <c r="Q66">
        <v>5</v>
      </c>
      <c r="R66">
        <f>O66*P66</f>
        <v>10165</v>
      </c>
      <c r="S66" t="s">
        <v>19</v>
      </c>
      <c r="T66" t="str">
        <f>TRIM(S66)</f>
        <v>UPI</v>
      </c>
      <c r="U66">
        <v>200</v>
      </c>
      <c r="V66" t="s">
        <v>20</v>
      </c>
      <c r="W66">
        <v>2</v>
      </c>
    </row>
    <row r="67" spans="1:23" hidden="1" x14ac:dyDescent="0.3">
      <c r="A67" t="s">
        <v>188</v>
      </c>
      <c r="B67" s="2">
        <v>46039</v>
      </c>
      <c r="C67" s="2" t="str">
        <v>Jan</v>
      </c>
      <c r="D67" t="s">
        <v>189</v>
      </c>
      <c r="E67" t="s">
        <v>30</v>
      </c>
      <c r="F67" t="str">
        <f>TRIM(E67)</f>
        <v>Simran</v>
      </c>
      <c r="G67" t="s">
        <v>36</v>
      </c>
      <c r="H67">
        <v>73</v>
      </c>
      <c r="I67" t="str">
        <f t="shared" ref="I67:I130" si="1">TRIM(G67)</f>
        <v>Delhi</v>
      </c>
      <c r="J67" t="s">
        <v>190</v>
      </c>
      <c r="K67">
        <f ca="1"/>
        <v>54</v>
      </c>
      <c r="N67" t="s">
        <v>55</v>
      </c>
      <c r="O67">
        <v>3</v>
      </c>
      <c r="P67">
        <v>2900</v>
      </c>
      <c r="Q67">
        <v>10</v>
      </c>
      <c r="R67">
        <f>O67*P67</f>
        <v>8700</v>
      </c>
      <c r="S67" t="s">
        <v>27</v>
      </c>
      <c r="T67" t="str">
        <f>TRIM(S67)</f>
        <v>Card</v>
      </c>
      <c r="U67">
        <v>135</v>
      </c>
      <c r="V67" t="s">
        <v>20</v>
      </c>
      <c r="W67">
        <v>3</v>
      </c>
    </row>
    <row r="68" spans="1:23" hidden="1" x14ac:dyDescent="0.3">
      <c r="A68" t="s">
        <v>191</v>
      </c>
      <c r="B68" s="2">
        <v>46056</v>
      </c>
      <c r="C68" s="2" t="str">
        <v>Feb</v>
      </c>
      <c r="D68" t="s">
        <v>192</v>
      </c>
      <c r="E68" t="s">
        <v>98</v>
      </c>
      <c r="F68" t="str">
        <f>TRIM(E68)</f>
        <v>Meera</v>
      </c>
      <c r="G68" t="s">
        <v>117</v>
      </c>
      <c r="H68">
        <v>40</v>
      </c>
      <c r="I68" t="str">
        <f t="shared" si="1"/>
        <v>Ghaziabad</v>
      </c>
      <c r="J68" t="s">
        <v>141</v>
      </c>
      <c r="K68">
        <f ca="1"/>
        <v>34</v>
      </c>
      <c r="N68" t="s">
        <v>50</v>
      </c>
      <c r="O68">
        <v>1</v>
      </c>
      <c r="P68">
        <v>1614</v>
      </c>
      <c r="Q68">
        <v>5</v>
      </c>
      <c r="R68">
        <f>O68*P68</f>
        <v>1614</v>
      </c>
      <c r="S68" t="s">
        <v>56</v>
      </c>
      <c r="T68" t="str">
        <f>TRIM(S68)</f>
        <v>COD</v>
      </c>
      <c r="U68">
        <v>129</v>
      </c>
      <c r="V68" t="s">
        <v>20</v>
      </c>
      <c r="W68">
        <v>3</v>
      </c>
    </row>
    <row r="69" spans="1:23" x14ac:dyDescent="0.3">
      <c r="A69" t="s">
        <v>193</v>
      </c>
      <c r="B69" s="2">
        <v>46131</v>
      </c>
      <c r="C69" s="2" t="str">
        <v>Apr</v>
      </c>
      <c r="D69" t="s">
        <v>67</v>
      </c>
      <c r="E69" t="s">
        <v>53</v>
      </c>
      <c r="F69" t="str">
        <f>TRIM(E69)</f>
        <v>Isha</v>
      </c>
      <c r="G69" t="s">
        <v>31</v>
      </c>
      <c r="H69">
        <v>64</v>
      </c>
      <c r="I69" t="str">
        <f t="shared" si="1"/>
        <v>Noida</v>
      </c>
      <c r="J69" t="s">
        <v>95</v>
      </c>
      <c r="K69">
        <f ca="1"/>
        <v>28</v>
      </c>
      <c r="N69" t="s">
        <v>45</v>
      </c>
      <c r="O69">
        <v>1</v>
      </c>
      <c r="P69">
        <v>1200</v>
      </c>
      <c r="Q69">
        <v>5</v>
      </c>
      <c r="R69">
        <f>O69*P69</f>
        <v>1200</v>
      </c>
      <c r="S69" t="s">
        <v>27</v>
      </c>
      <c r="T69" t="str">
        <f>TRIM(S69)</f>
        <v>Card</v>
      </c>
      <c r="U69">
        <v>135</v>
      </c>
      <c r="V69" t="s">
        <v>20</v>
      </c>
      <c r="W69">
        <v>2</v>
      </c>
    </row>
    <row r="70" spans="1:23" hidden="1" x14ac:dyDescent="0.3">
      <c r="A70" t="s">
        <v>194</v>
      </c>
      <c r="B70" s="2">
        <v>46026</v>
      </c>
      <c r="C70" s="2" t="str">
        <v>Jan</v>
      </c>
      <c r="D70" t="s">
        <v>195</v>
      </c>
      <c r="E70" t="s">
        <v>75</v>
      </c>
      <c r="F70" t="str">
        <f>TRIM(E70)</f>
        <v>Sneha</v>
      </c>
      <c r="G70" t="s">
        <v>36</v>
      </c>
      <c r="H70">
        <v>73</v>
      </c>
      <c r="I70" t="str">
        <f t="shared" si="1"/>
        <v>Delhi</v>
      </c>
      <c r="J70" t="s">
        <v>85</v>
      </c>
      <c r="K70">
        <f ca="1"/>
        <v>30</v>
      </c>
      <c r="N70" t="s">
        <v>45</v>
      </c>
      <c r="O70">
        <v>2</v>
      </c>
      <c r="P70">
        <v>1350</v>
      </c>
      <c r="Q70">
        <v>10</v>
      </c>
      <c r="R70">
        <f>O70*P70</f>
        <v>2700</v>
      </c>
      <c r="S70" t="s">
        <v>27</v>
      </c>
      <c r="T70" t="str">
        <f>TRIM(S70)</f>
        <v>Card</v>
      </c>
      <c r="U70">
        <v>135</v>
      </c>
      <c r="V70" t="s">
        <v>20</v>
      </c>
      <c r="W70">
        <v>3</v>
      </c>
    </row>
    <row r="71" spans="1:23" hidden="1" x14ac:dyDescent="0.3">
      <c r="A71" t="s">
        <v>196</v>
      </c>
      <c r="B71" s="2">
        <v>46092</v>
      </c>
      <c r="C71" s="2" t="str">
        <v>Mar</v>
      </c>
      <c r="D71" t="s">
        <v>197</v>
      </c>
      <c r="E71" t="s">
        <v>43</v>
      </c>
      <c r="F71" t="str">
        <f>TRIM(E71)</f>
        <v>Aarav</v>
      </c>
      <c r="G71" t="s">
        <v>24</v>
      </c>
      <c r="H71">
        <v>35</v>
      </c>
      <c r="I71" t="str">
        <f t="shared" si="1"/>
        <v>Chandigarh</v>
      </c>
      <c r="J71" t="s">
        <v>88</v>
      </c>
      <c r="K71">
        <f ca="1"/>
        <v>17</v>
      </c>
      <c r="N71" t="s">
        <v>26</v>
      </c>
      <c r="O71">
        <v>2</v>
      </c>
      <c r="P71">
        <v>250</v>
      </c>
      <c r="Q71">
        <v>10</v>
      </c>
      <c r="R71">
        <f>O71*P71</f>
        <v>500</v>
      </c>
      <c r="S71" t="s">
        <v>56</v>
      </c>
      <c r="T71" t="str">
        <f>TRIM(S71)</f>
        <v>COD</v>
      </c>
      <c r="U71">
        <v>129</v>
      </c>
      <c r="V71" t="s">
        <v>20</v>
      </c>
      <c r="W71">
        <v>3</v>
      </c>
    </row>
    <row r="72" spans="1:23" hidden="1" x14ac:dyDescent="0.3">
      <c r="A72" t="s">
        <v>198</v>
      </c>
      <c r="B72" s="2">
        <v>46099</v>
      </c>
      <c r="C72" s="2" t="str">
        <v>Mar</v>
      </c>
      <c r="D72" t="s">
        <v>199</v>
      </c>
      <c r="E72" t="s">
        <v>15</v>
      </c>
      <c r="F72" t="str">
        <f>TRIM(E72)</f>
        <v>Aditya</v>
      </c>
      <c r="G72" t="s">
        <v>40</v>
      </c>
      <c r="H72">
        <v>69</v>
      </c>
      <c r="I72" t="str">
        <f t="shared" si="1"/>
        <v>Gurugram</v>
      </c>
      <c r="J72" t="s">
        <v>90</v>
      </c>
      <c r="K72">
        <f ca="1"/>
        <v>41</v>
      </c>
      <c r="N72" t="s">
        <v>18</v>
      </c>
      <c r="O72">
        <v>1</v>
      </c>
      <c r="P72">
        <v>42439</v>
      </c>
      <c r="Q72">
        <v>0</v>
      </c>
      <c r="R72">
        <f>O72*P72</f>
        <v>42439</v>
      </c>
      <c r="S72" t="s">
        <v>91</v>
      </c>
      <c r="T72" t="str">
        <f>TRIM(S72)</f>
        <v>Net Banking</v>
      </c>
      <c r="U72">
        <v>36</v>
      </c>
      <c r="V72" t="s">
        <v>20</v>
      </c>
      <c r="W72">
        <v>2</v>
      </c>
    </row>
    <row r="73" spans="1:23" x14ac:dyDescent="0.3">
      <c r="A73" t="s">
        <v>200</v>
      </c>
      <c r="B73" s="2">
        <v>46106</v>
      </c>
      <c r="C73" s="2" t="str">
        <v>Mar</v>
      </c>
      <c r="D73" t="s">
        <v>126</v>
      </c>
      <c r="E73" t="s">
        <v>61</v>
      </c>
      <c r="F73" t="str">
        <f>TRIM(E73)</f>
        <v>Nikhil</v>
      </c>
      <c r="G73" t="s">
        <v>31</v>
      </c>
      <c r="H73">
        <v>64</v>
      </c>
      <c r="I73" t="str">
        <f t="shared" si="1"/>
        <v>Noida</v>
      </c>
      <c r="J73" t="s">
        <v>49</v>
      </c>
      <c r="K73">
        <f ca="1"/>
        <v>29</v>
      </c>
      <c r="N73" t="s">
        <v>50</v>
      </c>
      <c r="O73">
        <v>1</v>
      </c>
      <c r="P73">
        <v>884</v>
      </c>
      <c r="Q73">
        <v>10</v>
      </c>
      <c r="R73">
        <f>O73*P73</f>
        <v>884</v>
      </c>
      <c r="S73" t="s">
        <v>19</v>
      </c>
      <c r="T73" t="str">
        <f>TRIM(S73)</f>
        <v>UPI</v>
      </c>
      <c r="U73">
        <v>200</v>
      </c>
      <c r="V73" t="s">
        <v>20</v>
      </c>
      <c r="W73">
        <v>4</v>
      </c>
    </row>
    <row r="74" spans="1:23" hidden="1" x14ac:dyDescent="0.3">
      <c r="A74" t="s">
        <v>201</v>
      </c>
      <c r="B74" s="2">
        <v>46057</v>
      </c>
      <c r="C74" s="2" t="str">
        <v>Feb</v>
      </c>
      <c r="D74" t="s">
        <v>202</v>
      </c>
      <c r="E74" t="s">
        <v>109</v>
      </c>
      <c r="F74" t="str">
        <f>TRIM(E74)</f>
        <v>Neha</v>
      </c>
      <c r="G74" t="s">
        <v>65</v>
      </c>
      <c r="H74">
        <v>36</v>
      </c>
      <c r="I74" t="str">
        <f t="shared" si="1"/>
        <v>Jaipur</v>
      </c>
      <c r="J74" t="s">
        <v>88</v>
      </c>
      <c r="K74">
        <f ca="1"/>
        <v>17</v>
      </c>
      <c r="N74" t="s">
        <v>26</v>
      </c>
      <c r="O74">
        <v>1</v>
      </c>
      <c r="P74">
        <v>1678</v>
      </c>
      <c r="Q74">
        <v>15</v>
      </c>
      <c r="R74">
        <f>O74*P74</f>
        <v>1678</v>
      </c>
      <c r="S74" t="s">
        <v>19</v>
      </c>
      <c r="T74" t="str">
        <f>TRIM(S74)</f>
        <v>UPI</v>
      </c>
      <c r="U74">
        <v>200</v>
      </c>
      <c r="V74" t="s">
        <v>20</v>
      </c>
      <c r="W74">
        <v>3</v>
      </c>
    </row>
    <row r="75" spans="1:23" x14ac:dyDescent="0.3">
      <c r="A75" t="s">
        <v>203</v>
      </c>
      <c r="B75" s="2">
        <v>46027</v>
      </c>
      <c r="C75" s="2" t="str">
        <v>Jan</v>
      </c>
      <c r="D75" t="s">
        <v>155</v>
      </c>
      <c r="E75" t="s">
        <v>39</v>
      </c>
      <c r="F75" t="str">
        <f>TRIM(E75)</f>
        <v>Aman</v>
      </c>
      <c r="G75" t="s">
        <v>31</v>
      </c>
      <c r="H75">
        <v>64</v>
      </c>
      <c r="I75" t="str">
        <f t="shared" si="1"/>
        <v>Noida</v>
      </c>
      <c r="J75" t="s">
        <v>141</v>
      </c>
      <c r="K75">
        <f ca="1"/>
        <v>34</v>
      </c>
      <c r="N75" t="s">
        <v>50</v>
      </c>
      <c r="O75">
        <v>2</v>
      </c>
      <c r="P75">
        <v>2052</v>
      </c>
      <c r="Q75">
        <v>5</v>
      </c>
      <c r="R75">
        <f>O75*P75</f>
        <v>4104</v>
      </c>
      <c r="S75" t="s">
        <v>56</v>
      </c>
      <c r="T75" t="str">
        <f>TRIM(S75)</f>
        <v>COD</v>
      </c>
      <c r="U75">
        <v>129</v>
      </c>
      <c r="V75" t="s">
        <v>20</v>
      </c>
      <c r="W75">
        <v>3</v>
      </c>
    </row>
    <row r="76" spans="1:23" hidden="1" x14ac:dyDescent="0.3">
      <c r="A76" t="s">
        <v>204</v>
      </c>
      <c r="B76" s="2">
        <v>46119</v>
      </c>
      <c r="C76" s="2" t="str">
        <v>Apr</v>
      </c>
      <c r="D76" t="s">
        <v>205</v>
      </c>
      <c r="E76" t="s">
        <v>98</v>
      </c>
      <c r="F76" t="str">
        <f>TRIM(E76)</f>
        <v>Meera</v>
      </c>
      <c r="G76" t="s">
        <v>81</v>
      </c>
      <c r="H76">
        <v>35</v>
      </c>
      <c r="I76" t="str">
        <f t="shared" si="1"/>
        <v>Faridabad</v>
      </c>
      <c r="J76" t="s">
        <v>49</v>
      </c>
      <c r="K76">
        <f ca="1"/>
        <v>29</v>
      </c>
      <c r="N76" t="s">
        <v>50</v>
      </c>
      <c r="O76">
        <v>3</v>
      </c>
      <c r="P76">
        <v>1468</v>
      </c>
      <c r="Q76">
        <v>5</v>
      </c>
      <c r="R76">
        <f>O76*P76</f>
        <v>4404</v>
      </c>
      <c r="S76" t="s">
        <v>27</v>
      </c>
      <c r="T76" t="str">
        <f>TRIM(S76)</f>
        <v>Card</v>
      </c>
      <c r="U76">
        <v>135</v>
      </c>
      <c r="V76" t="s">
        <v>46</v>
      </c>
      <c r="W76">
        <v>0</v>
      </c>
    </row>
    <row r="77" spans="1:23" hidden="1" x14ac:dyDescent="0.3">
      <c r="A77" t="s">
        <v>206</v>
      </c>
      <c r="B77" s="2">
        <v>46061</v>
      </c>
      <c r="C77" s="2" t="str">
        <v>Feb</v>
      </c>
      <c r="D77" t="s">
        <v>207</v>
      </c>
      <c r="E77" t="s">
        <v>53</v>
      </c>
      <c r="F77" t="str">
        <f>TRIM(E77)</f>
        <v>Isha</v>
      </c>
      <c r="G77" t="s">
        <v>36</v>
      </c>
      <c r="H77">
        <v>73</v>
      </c>
      <c r="I77" t="str">
        <f t="shared" si="1"/>
        <v>Delhi</v>
      </c>
      <c r="J77" t="s">
        <v>85</v>
      </c>
      <c r="K77">
        <f ca="1"/>
        <v>30</v>
      </c>
      <c r="N77" t="s">
        <v>45</v>
      </c>
      <c r="O77">
        <v>2</v>
      </c>
      <c r="P77">
        <v>500</v>
      </c>
      <c r="Q77">
        <v>0</v>
      </c>
      <c r="R77">
        <f>O77*P77</f>
        <v>1000</v>
      </c>
      <c r="S77" t="s">
        <v>56</v>
      </c>
      <c r="T77" t="str">
        <f>TRIM(S77)</f>
        <v>COD</v>
      </c>
      <c r="U77">
        <v>129</v>
      </c>
      <c r="V77" t="s">
        <v>20</v>
      </c>
      <c r="W77">
        <v>1</v>
      </c>
    </row>
    <row r="78" spans="1:23" hidden="1" x14ac:dyDescent="0.3">
      <c r="A78" t="s">
        <v>208</v>
      </c>
      <c r="B78" s="2">
        <v>46186</v>
      </c>
      <c r="C78" s="2" t="str">
        <v>Jun</v>
      </c>
      <c r="D78" t="s">
        <v>165</v>
      </c>
      <c r="E78" t="s">
        <v>80</v>
      </c>
      <c r="F78" t="str">
        <f>TRIM(E78)</f>
        <v>Varun</v>
      </c>
      <c r="G78" t="s">
        <v>24</v>
      </c>
      <c r="H78">
        <v>35</v>
      </c>
      <c r="I78" t="str">
        <f t="shared" si="1"/>
        <v>Chandigarh</v>
      </c>
      <c r="J78" t="s">
        <v>113</v>
      </c>
      <c r="K78">
        <f ca="1"/>
        <v>26</v>
      </c>
      <c r="N78" t="s">
        <v>26</v>
      </c>
      <c r="O78">
        <v>2</v>
      </c>
      <c r="P78">
        <v>454</v>
      </c>
      <c r="Q78">
        <v>0</v>
      </c>
      <c r="R78">
        <f>O78*P78</f>
        <v>908</v>
      </c>
      <c r="S78" t="s">
        <v>19</v>
      </c>
      <c r="T78" t="str">
        <f>TRIM(S78)</f>
        <v>UPI</v>
      </c>
      <c r="U78">
        <v>200</v>
      </c>
      <c r="V78" t="s">
        <v>20</v>
      </c>
      <c r="W78">
        <v>5</v>
      </c>
    </row>
    <row r="79" spans="1:23" hidden="1" x14ac:dyDescent="0.3">
      <c r="A79" t="s">
        <v>209</v>
      </c>
      <c r="B79" s="2">
        <v>46060</v>
      </c>
      <c r="C79" s="2" t="str">
        <v>Feb</v>
      </c>
      <c r="D79" t="s">
        <v>210</v>
      </c>
      <c r="E79" t="s">
        <v>101</v>
      </c>
      <c r="F79" t="str">
        <f>TRIM(E79)</f>
        <v>Arjun</v>
      </c>
      <c r="G79" t="s">
        <v>40</v>
      </c>
      <c r="H79">
        <v>69</v>
      </c>
      <c r="I79" t="str">
        <f t="shared" si="1"/>
        <v>Gurugram</v>
      </c>
      <c r="J79" t="s">
        <v>131</v>
      </c>
      <c r="K79">
        <f ca="1"/>
        <v>27</v>
      </c>
      <c r="N79" t="s">
        <v>55</v>
      </c>
      <c r="O79">
        <v>1</v>
      </c>
      <c r="P79">
        <v>2800</v>
      </c>
      <c r="Q79">
        <v>10</v>
      </c>
      <c r="R79">
        <f>O79*P79</f>
        <v>2800</v>
      </c>
      <c r="S79" t="s">
        <v>27</v>
      </c>
      <c r="T79" t="str">
        <f>TRIM(S79)</f>
        <v>Card</v>
      </c>
      <c r="U79">
        <v>135</v>
      </c>
      <c r="V79" t="s">
        <v>20</v>
      </c>
      <c r="W79">
        <v>4</v>
      </c>
    </row>
    <row r="80" spans="1:23" hidden="1" x14ac:dyDescent="0.3">
      <c r="A80" t="s">
        <v>211</v>
      </c>
      <c r="B80" s="2">
        <v>46098</v>
      </c>
      <c r="C80" s="2" t="str">
        <v>Mar</v>
      </c>
      <c r="D80" t="s">
        <v>212</v>
      </c>
      <c r="E80" t="s">
        <v>94</v>
      </c>
      <c r="F80" t="str">
        <f>TRIM(E80)</f>
        <v>Karan</v>
      </c>
      <c r="G80" t="s">
        <v>16</v>
      </c>
      <c r="H80">
        <v>49</v>
      </c>
      <c r="I80" t="str">
        <f t="shared" si="1"/>
        <v>Lucknow</v>
      </c>
      <c r="J80" t="s">
        <v>213</v>
      </c>
      <c r="K80">
        <f ca="1"/>
        <v>14</v>
      </c>
      <c r="N80" t="s">
        <v>18</v>
      </c>
      <c r="O80">
        <v>1</v>
      </c>
      <c r="P80">
        <v>33474</v>
      </c>
      <c r="Q80">
        <v>15</v>
      </c>
      <c r="R80">
        <f>O80*P80</f>
        <v>33474</v>
      </c>
      <c r="S80" t="s">
        <v>27</v>
      </c>
      <c r="T80" t="str">
        <f>TRIM(S80)</f>
        <v>Card</v>
      </c>
      <c r="U80">
        <v>135</v>
      </c>
      <c r="V80" t="s">
        <v>20</v>
      </c>
      <c r="W80">
        <v>3</v>
      </c>
    </row>
    <row r="81" spans="1:23" hidden="1" x14ac:dyDescent="0.3">
      <c r="A81" t="s">
        <v>214</v>
      </c>
      <c r="B81" s="2">
        <v>46045</v>
      </c>
      <c r="C81" s="2" t="str">
        <v>Jan</v>
      </c>
      <c r="D81" t="s">
        <v>215</v>
      </c>
      <c r="E81" t="s">
        <v>43</v>
      </c>
      <c r="F81" t="str">
        <f>TRIM(E81)</f>
        <v>Aarav</v>
      </c>
      <c r="G81" t="s">
        <v>40</v>
      </c>
      <c r="H81">
        <v>69</v>
      </c>
      <c r="I81" t="str">
        <f t="shared" si="1"/>
        <v>Gurugram</v>
      </c>
      <c r="J81" t="s">
        <v>122</v>
      </c>
      <c r="K81">
        <f ca="1"/>
        <v>10</v>
      </c>
      <c r="N81" t="s">
        <v>45</v>
      </c>
      <c r="O81">
        <v>1</v>
      </c>
      <c r="P81">
        <v>1400</v>
      </c>
      <c r="Q81">
        <v>10</v>
      </c>
      <c r="R81">
        <f>O81*P81</f>
        <v>1400</v>
      </c>
      <c r="S81" t="s">
        <v>27</v>
      </c>
      <c r="T81" t="str">
        <f>TRIM(S81)</f>
        <v>Card</v>
      </c>
      <c r="U81">
        <v>135</v>
      </c>
      <c r="V81" t="s">
        <v>20</v>
      </c>
      <c r="W81">
        <v>2</v>
      </c>
    </row>
    <row r="82" spans="1:23" hidden="1" x14ac:dyDescent="0.3">
      <c r="A82" t="s">
        <v>216</v>
      </c>
      <c r="B82" s="2">
        <v>46193</v>
      </c>
      <c r="C82" s="2" t="str">
        <v>Jun</v>
      </c>
      <c r="D82" t="s">
        <v>217</v>
      </c>
      <c r="E82" t="s">
        <v>23</v>
      </c>
      <c r="F82" t="str">
        <f>TRIM(E82)</f>
        <v>Pooja</v>
      </c>
      <c r="G82" t="s">
        <v>24</v>
      </c>
      <c r="H82">
        <v>35</v>
      </c>
      <c r="I82" t="str">
        <f t="shared" si="1"/>
        <v>Chandigarh</v>
      </c>
      <c r="J82" t="s">
        <v>141</v>
      </c>
      <c r="K82">
        <f ca="1"/>
        <v>34</v>
      </c>
      <c r="N82" t="s">
        <v>50</v>
      </c>
      <c r="O82">
        <v>3</v>
      </c>
      <c r="P82">
        <v>592</v>
      </c>
      <c r="Q82">
        <v>15</v>
      </c>
      <c r="R82">
        <f>O82*P82</f>
        <v>1776</v>
      </c>
      <c r="S82" t="s">
        <v>19</v>
      </c>
      <c r="T82" t="str">
        <f>TRIM(S82)</f>
        <v>UPI</v>
      </c>
      <c r="U82">
        <v>200</v>
      </c>
      <c r="V82" t="s">
        <v>20</v>
      </c>
      <c r="W82">
        <v>2</v>
      </c>
    </row>
    <row r="83" spans="1:23" hidden="1" x14ac:dyDescent="0.3">
      <c r="A83" t="s">
        <v>218</v>
      </c>
      <c r="B83" s="2">
        <v>46062</v>
      </c>
      <c r="C83" s="2" t="str">
        <v>Feb</v>
      </c>
      <c r="D83" t="s">
        <v>219</v>
      </c>
      <c r="E83" t="s">
        <v>161</v>
      </c>
      <c r="F83" t="str">
        <f>TRIM(E83)</f>
        <v>Ananya</v>
      </c>
      <c r="G83" t="s">
        <v>16</v>
      </c>
      <c r="H83">
        <v>49</v>
      </c>
      <c r="I83" t="str">
        <f t="shared" si="1"/>
        <v>Lucknow</v>
      </c>
      <c r="J83" t="s">
        <v>72</v>
      </c>
      <c r="K83">
        <f ca="1"/>
        <v>14</v>
      </c>
      <c r="N83" t="s">
        <v>45</v>
      </c>
      <c r="O83">
        <v>1</v>
      </c>
      <c r="P83">
        <v>800</v>
      </c>
      <c r="Q83">
        <v>0</v>
      </c>
      <c r="R83">
        <f>O83*P83</f>
        <v>800</v>
      </c>
      <c r="S83" t="s">
        <v>19</v>
      </c>
      <c r="T83" t="str">
        <f>TRIM(S83)</f>
        <v>UPI</v>
      </c>
      <c r="U83">
        <v>200</v>
      </c>
      <c r="V83" t="s">
        <v>20</v>
      </c>
      <c r="W83">
        <v>4</v>
      </c>
    </row>
    <row r="84" spans="1:23" x14ac:dyDescent="0.3">
      <c r="A84" t="s">
        <v>220</v>
      </c>
      <c r="B84" s="2">
        <v>46085</v>
      </c>
      <c r="C84" s="2" t="str">
        <v>Mar</v>
      </c>
      <c r="D84" t="s">
        <v>108</v>
      </c>
      <c r="E84" t="s">
        <v>109</v>
      </c>
      <c r="F84" t="str">
        <f>TRIM(E84)</f>
        <v>Neha</v>
      </c>
      <c r="G84" t="s">
        <v>31</v>
      </c>
      <c r="H84">
        <v>64</v>
      </c>
      <c r="I84" t="str">
        <f t="shared" si="1"/>
        <v>Noida</v>
      </c>
      <c r="J84" t="s">
        <v>17</v>
      </c>
      <c r="K84">
        <f ca="1"/>
        <v>55</v>
      </c>
      <c r="N84" t="s">
        <v>18</v>
      </c>
      <c r="O84">
        <v>1</v>
      </c>
      <c r="P84">
        <v>26302</v>
      </c>
      <c r="Q84">
        <v>5</v>
      </c>
      <c r="R84">
        <f>O84*P84</f>
        <v>26302</v>
      </c>
      <c r="S84" t="s">
        <v>56</v>
      </c>
      <c r="T84" t="str">
        <f>TRIM(S84)</f>
        <v>COD</v>
      </c>
      <c r="U84">
        <v>129</v>
      </c>
      <c r="V84" t="s">
        <v>20</v>
      </c>
      <c r="W84">
        <v>2</v>
      </c>
    </row>
    <row r="85" spans="1:23" x14ac:dyDescent="0.3">
      <c r="A85" t="s">
        <v>221</v>
      </c>
      <c r="B85" s="2">
        <v>46112</v>
      </c>
      <c r="C85" s="2" t="str">
        <v>Mar</v>
      </c>
      <c r="D85" t="s">
        <v>205</v>
      </c>
      <c r="E85" t="s">
        <v>98</v>
      </c>
      <c r="F85" t="str">
        <f>TRIM(E85)</f>
        <v>Meera</v>
      </c>
      <c r="G85" t="s">
        <v>222</v>
      </c>
      <c r="H85">
        <v>1</v>
      </c>
      <c r="I85" t="str">
        <f t="shared" si="1"/>
        <v>Noida</v>
      </c>
      <c r="J85" t="s">
        <v>124</v>
      </c>
      <c r="K85">
        <f ca="1"/>
        <v>44</v>
      </c>
      <c r="N85" t="s">
        <v>55</v>
      </c>
      <c r="O85">
        <v>2</v>
      </c>
      <c r="P85">
        <v>3100</v>
      </c>
      <c r="Q85">
        <v>10</v>
      </c>
      <c r="R85">
        <f>O85*P85</f>
        <v>6200</v>
      </c>
      <c r="S85" t="s">
        <v>19</v>
      </c>
      <c r="T85" t="str">
        <f>TRIM(S85)</f>
        <v>UPI</v>
      </c>
      <c r="U85">
        <v>200</v>
      </c>
      <c r="V85" t="s">
        <v>20</v>
      </c>
      <c r="W85">
        <v>2</v>
      </c>
    </row>
    <row r="86" spans="1:23" hidden="1" x14ac:dyDescent="0.3">
      <c r="A86" t="s">
        <v>223</v>
      </c>
      <c r="B86" s="2">
        <v>46174</v>
      </c>
      <c r="C86" s="2" t="str">
        <v>Jun</v>
      </c>
      <c r="D86" t="s">
        <v>224</v>
      </c>
      <c r="E86" t="s">
        <v>161</v>
      </c>
      <c r="F86" t="str">
        <f>TRIM(E86)</f>
        <v>Ananya</v>
      </c>
      <c r="G86" t="s">
        <v>117</v>
      </c>
      <c r="H86">
        <v>40</v>
      </c>
      <c r="I86" t="str">
        <f t="shared" si="1"/>
        <v>Ghaziabad</v>
      </c>
      <c r="J86" t="s">
        <v>17</v>
      </c>
      <c r="K86">
        <f ca="1"/>
        <v>55</v>
      </c>
      <c r="N86" t="s">
        <v>18</v>
      </c>
      <c r="O86">
        <v>1</v>
      </c>
      <c r="P86">
        <v>42439</v>
      </c>
      <c r="Q86">
        <v>15</v>
      </c>
      <c r="R86">
        <f>O86*P86</f>
        <v>42439</v>
      </c>
      <c r="S86" t="s">
        <v>19</v>
      </c>
      <c r="T86" t="str">
        <f>TRIM(S86)</f>
        <v>UPI</v>
      </c>
      <c r="U86">
        <v>200</v>
      </c>
      <c r="V86" t="s">
        <v>20</v>
      </c>
      <c r="W86">
        <v>4</v>
      </c>
    </row>
    <row r="87" spans="1:23" hidden="1" x14ac:dyDescent="0.3">
      <c r="A87" t="s">
        <v>225</v>
      </c>
      <c r="B87" s="2">
        <v>46106</v>
      </c>
      <c r="C87" s="2" t="str">
        <v>Mar</v>
      </c>
      <c r="D87" t="s">
        <v>205</v>
      </c>
      <c r="E87" t="s">
        <v>98</v>
      </c>
      <c r="F87" t="str">
        <f>TRIM(E87)</f>
        <v>Meera</v>
      </c>
      <c r="G87" t="s">
        <v>40</v>
      </c>
      <c r="H87">
        <v>69</v>
      </c>
      <c r="I87" t="str">
        <f t="shared" si="1"/>
        <v>Gurugram</v>
      </c>
      <c r="J87" t="s">
        <v>141</v>
      </c>
      <c r="K87">
        <f ca="1"/>
        <v>34</v>
      </c>
      <c r="N87" t="s">
        <v>50</v>
      </c>
      <c r="O87">
        <v>4</v>
      </c>
      <c r="P87">
        <v>2490</v>
      </c>
      <c r="Q87">
        <v>10</v>
      </c>
      <c r="R87">
        <f>O87*P87</f>
        <v>9960</v>
      </c>
      <c r="S87" t="s">
        <v>27</v>
      </c>
      <c r="T87" t="str">
        <f>TRIM(S87)</f>
        <v>Card</v>
      </c>
      <c r="U87">
        <v>135</v>
      </c>
      <c r="V87" t="s">
        <v>20</v>
      </c>
      <c r="W87">
        <v>2</v>
      </c>
    </row>
    <row r="88" spans="1:23" hidden="1" x14ac:dyDescent="0.3">
      <c r="A88" t="s">
        <v>226</v>
      </c>
      <c r="B88" s="2">
        <v>46145</v>
      </c>
      <c r="C88" s="2" t="str">
        <v>May</v>
      </c>
      <c r="D88" t="s">
        <v>74</v>
      </c>
      <c r="E88" t="s">
        <v>75</v>
      </c>
      <c r="F88" t="str">
        <f>TRIM(E88)</f>
        <v>Sneha</v>
      </c>
      <c r="G88" t="s">
        <v>16</v>
      </c>
      <c r="H88">
        <v>49</v>
      </c>
      <c r="I88" t="str">
        <f t="shared" si="1"/>
        <v>Lucknow</v>
      </c>
      <c r="J88" t="s">
        <v>131</v>
      </c>
      <c r="K88">
        <f ca="1"/>
        <v>27</v>
      </c>
      <c r="N88" t="s">
        <v>55</v>
      </c>
      <c r="O88">
        <v>1</v>
      </c>
      <c r="P88">
        <v>2100</v>
      </c>
      <c r="Q88">
        <v>10</v>
      </c>
      <c r="R88">
        <f>O88*P88</f>
        <v>2100</v>
      </c>
      <c r="S88" t="s">
        <v>27</v>
      </c>
      <c r="T88" t="str">
        <f>TRIM(S88)</f>
        <v>Card</v>
      </c>
      <c r="U88">
        <v>135</v>
      </c>
      <c r="V88" t="s">
        <v>20</v>
      </c>
      <c r="W88">
        <v>4</v>
      </c>
    </row>
    <row r="89" spans="1:23" hidden="1" x14ac:dyDescent="0.3">
      <c r="A89" t="s">
        <v>227</v>
      </c>
      <c r="B89" s="2">
        <v>46136</v>
      </c>
      <c r="C89" s="2" t="str">
        <v>Apr</v>
      </c>
      <c r="D89" t="s">
        <v>228</v>
      </c>
      <c r="E89" t="s">
        <v>15</v>
      </c>
      <c r="F89" t="str">
        <f>TRIM(E89)</f>
        <v>Aditya</v>
      </c>
      <c r="G89" t="s">
        <v>40</v>
      </c>
      <c r="H89">
        <v>69</v>
      </c>
      <c r="I89" t="str">
        <f t="shared" si="1"/>
        <v>Gurugram</v>
      </c>
      <c r="J89" t="s">
        <v>88</v>
      </c>
      <c r="K89">
        <f ca="1"/>
        <v>17</v>
      </c>
      <c r="N89" t="s">
        <v>26</v>
      </c>
      <c r="O89">
        <v>1</v>
      </c>
      <c r="P89">
        <v>250</v>
      </c>
      <c r="Q89">
        <v>0</v>
      </c>
      <c r="R89">
        <f>O89*P89</f>
        <v>250</v>
      </c>
      <c r="S89" t="s">
        <v>56</v>
      </c>
      <c r="T89" t="str">
        <f>TRIM(S89)</f>
        <v>COD</v>
      </c>
      <c r="U89">
        <v>129</v>
      </c>
      <c r="V89" t="s">
        <v>20</v>
      </c>
      <c r="W89">
        <v>4</v>
      </c>
    </row>
    <row r="90" spans="1:23" hidden="1" x14ac:dyDescent="0.3">
      <c r="A90" t="s">
        <v>229</v>
      </c>
      <c r="B90" s="2">
        <v>46184</v>
      </c>
      <c r="C90" s="2" t="str">
        <v>Jun</v>
      </c>
      <c r="D90" t="s">
        <v>230</v>
      </c>
      <c r="E90" t="s">
        <v>231</v>
      </c>
      <c r="F90" t="str">
        <f>TRIM(E90)</f>
        <v>Vivek</v>
      </c>
      <c r="G90" t="s">
        <v>40</v>
      </c>
      <c r="H90">
        <v>69</v>
      </c>
      <c r="I90" t="str">
        <f t="shared" si="1"/>
        <v>Gurugram</v>
      </c>
      <c r="J90" t="s">
        <v>32</v>
      </c>
      <c r="K90">
        <f ca="1"/>
        <v>36</v>
      </c>
      <c r="N90" t="s">
        <v>18</v>
      </c>
      <c r="O90">
        <v>2</v>
      </c>
      <c r="P90">
        <v>31681</v>
      </c>
      <c r="Q90">
        <v>5</v>
      </c>
      <c r="R90">
        <f>O90*P90</f>
        <v>63362</v>
      </c>
      <c r="S90" t="s">
        <v>27</v>
      </c>
      <c r="T90" t="str">
        <f>TRIM(S90)</f>
        <v>Card</v>
      </c>
      <c r="U90">
        <v>135</v>
      </c>
      <c r="V90" t="s">
        <v>20</v>
      </c>
      <c r="W90">
        <v>4</v>
      </c>
    </row>
    <row r="91" spans="1:23" x14ac:dyDescent="0.3">
      <c r="A91" t="s">
        <v>232</v>
      </c>
      <c r="B91" s="2">
        <v>46076</v>
      </c>
      <c r="C91" s="2" t="str">
        <v>Feb</v>
      </c>
      <c r="D91" t="s">
        <v>233</v>
      </c>
      <c r="E91" t="s">
        <v>231</v>
      </c>
      <c r="F91" t="str">
        <f>TRIM(E91)</f>
        <v>Vivek</v>
      </c>
      <c r="G91" t="s">
        <v>31</v>
      </c>
      <c r="H91">
        <v>64</v>
      </c>
      <c r="I91" t="str">
        <f t="shared" si="1"/>
        <v>Noida</v>
      </c>
      <c r="J91" t="s">
        <v>62</v>
      </c>
      <c r="K91">
        <f ca="1"/>
        <v>33</v>
      </c>
      <c r="N91" t="s">
        <v>50</v>
      </c>
      <c r="O91">
        <v>1</v>
      </c>
      <c r="P91">
        <v>300</v>
      </c>
      <c r="Q91">
        <v>15</v>
      </c>
      <c r="R91">
        <f>O91*P91</f>
        <v>300</v>
      </c>
      <c r="S91" t="s">
        <v>56</v>
      </c>
      <c r="T91" t="str">
        <f>TRIM(S91)</f>
        <v>COD</v>
      </c>
      <c r="U91">
        <v>129</v>
      </c>
      <c r="V91" t="s">
        <v>139</v>
      </c>
      <c r="W91">
        <v>2</v>
      </c>
    </row>
    <row r="92" spans="1:23" hidden="1" x14ac:dyDescent="0.3">
      <c r="A92" t="s">
        <v>234</v>
      </c>
      <c r="B92" s="2">
        <v>46142</v>
      </c>
      <c r="C92" s="2" t="str">
        <v>Apr</v>
      </c>
      <c r="D92" t="s">
        <v>235</v>
      </c>
      <c r="E92" t="s">
        <v>109</v>
      </c>
      <c r="F92" t="str">
        <f>TRIM(E92)</f>
        <v>Neha</v>
      </c>
      <c r="G92" t="s">
        <v>16</v>
      </c>
      <c r="H92">
        <v>49</v>
      </c>
      <c r="I92" t="str">
        <f t="shared" si="1"/>
        <v>Lucknow</v>
      </c>
      <c r="J92" t="s">
        <v>122</v>
      </c>
      <c r="K92">
        <f ca="1"/>
        <v>10</v>
      </c>
      <c r="N92" t="s">
        <v>45</v>
      </c>
      <c r="O92">
        <v>1</v>
      </c>
      <c r="P92">
        <v>350</v>
      </c>
      <c r="Q92">
        <v>5</v>
      </c>
      <c r="R92">
        <f>O92*P92</f>
        <v>350</v>
      </c>
      <c r="S92" t="s">
        <v>19</v>
      </c>
      <c r="T92" t="str">
        <f>TRIM(S92)</f>
        <v>UPI</v>
      </c>
      <c r="U92">
        <v>200</v>
      </c>
      <c r="V92" t="s">
        <v>20</v>
      </c>
      <c r="W92">
        <v>3</v>
      </c>
    </row>
    <row r="93" spans="1:23" hidden="1" x14ac:dyDescent="0.3">
      <c r="A93" t="s">
        <v>236</v>
      </c>
      <c r="B93" s="2">
        <v>46169</v>
      </c>
      <c r="C93" s="2" t="str">
        <v>May</v>
      </c>
      <c r="D93" t="s">
        <v>199</v>
      </c>
      <c r="E93" t="s">
        <v>15</v>
      </c>
      <c r="F93" t="str">
        <f>TRIM(E93)</f>
        <v>Aditya</v>
      </c>
      <c r="G93" t="s">
        <v>36</v>
      </c>
      <c r="H93">
        <v>73</v>
      </c>
      <c r="I93" t="str">
        <f t="shared" si="1"/>
        <v>Delhi</v>
      </c>
      <c r="J93" t="s">
        <v>95</v>
      </c>
      <c r="K93">
        <f ca="1"/>
        <v>28</v>
      </c>
      <c r="N93" t="s">
        <v>45</v>
      </c>
      <c r="O93">
        <v>3</v>
      </c>
      <c r="P93">
        <v>1000</v>
      </c>
      <c r="Q93">
        <v>15</v>
      </c>
      <c r="R93">
        <f>O93*P93</f>
        <v>3000</v>
      </c>
      <c r="S93" t="s">
        <v>19</v>
      </c>
      <c r="T93" t="str">
        <f>TRIM(S93)</f>
        <v>UPI</v>
      </c>
      <c r="U93">
        <v>200</v>
      </c>
      <c r="V93" t="s">
        <v>20</v>
      </c>
      <c r="W93">
        <v>3</v>
      </c>
    </row>
    <row r="94" spans="1:23" x14ac:dyDescent="0.3">
      <c r="A94" t="s">
        <v>237</v>
      </c>
      <c r="B94" s="2">
        <v>46141</v>
      </c>
      <c r="C94" s="2" t="str">
        <v>Apr</v>
      </c>
      <c r="D94" t="s">
        <v>192</v>
      </c>
      <c r="E94" t="s">
        <v>98</v>
      </c>
      <c r="F94" t="str">
        <f>TRIM(E94)</f>
        <v>Meera</v>
      </c>
      <c r="G94" t="s">
        <v>31</v>
      </c>
      <c r="H94">
        <v>64</v>
      </c>
      <c r="I94" t="str">
        <f t="shared" si="1"/>
        <v>Noida</v>
      </c>
      <c r="J94" t="s">
        <v>49</v>
      </c>
      <c r="K94">
        <f ca="1"/>
        <v>29</v>
      </c>
      <c r="N94" t="s">
        <v>50</v>
      </c>
      <c r="O94">
        <v>2</v>
      </c>
      <c r="P94">
        <v>373</v>
      </c>
      <c r="Q94">
        <v>5</v>
      </c>
      <c r="R94">
        <f>O94*P94</f>
        <v>746</v>
      </c>
      <c r="S94" t="s">
        <v>91</v>
      </c>
      <c r="T94" t="str">
        <f>TRIM(S94)</f>
        <v>Net Banking</v>
      </c>
      <c r="U94">
        <v>36</v>
      </c>
      <c r="V94" t="s">
        <v>20</v>
      </c>
      <c r="W94">
        <v>4</v>
      </c>
    </row>
    <row r="95" spans="1:23" hidden="1" x14ac:dyDescent="0.3">
      <c r="A95" t="s">
        <v>238</v>
      </c>
      <c r="B95" s="2">
        <v>46150</v>
      </c>
      <c r="C95" s="2" t="str">
        <v>May</v>
      </c>
      <c r="D95" t="s">
        <v>239</v>
      </c>
      <c r="E95" t="s">
        <v>149</v>
      </c>
      <c r="F95" t="str">
        <f>TRIM(E95)</f>
        <v>Rahul</v>
      </c>
      <c r="G95" t="s">
        <v>36</v>
      </c>
      <c r="H95">
        <v>73</v>
      </c>
      <c r="I95" t="str">
        <f t="shared" si="1"/>
        <v>Delhi</v>
      </c>
      <c r="J95" t="s">
        <v>127</v>
      </c>
      <c r="K95">
        <f ca="1"/>
        <v>41</v>
      </c>
      <c r="N95" t="s">
        <v>55</v>
      </c>
      <c r="O95">
        <v>2</v>
      </c>
      <c r="P95">
        <v>1800</v>
      </c>
      <c r="Q95">
        <v>10</v>
      </c>
      <c r="R95">
        <f>O95*P95</f>
        <v>3600</v>
      </c>
      <c r="S95" t="s">
        <v>19</v>
      </c>
      <c r="T95" t="str">
        <f>TRIM(S95)</f>
        <v>UPI</v>
      </c>
      <c r="U95">
        <v>200</v>
      </c>
      <c r="V95" t="s">
        <v>20</v>
      </c>
      <c r="W95">
        <v>3</v>
      </c>
    </row>
    <row r="96" spans="1:23" hidden="1" x14ac:dyDescent="0.3">
      <c r="A96" t="s">
        <v>240</v>
      </c>
      <c r="B96" s="2">
        <v>46026</v>
      </c>
      <c r="C96" s="2" t="str">
        <v>Jan</v>
      </c>
      <c r="D96" t="s">
        <v>202</v>
      </c>
      <c r="E96" t="s">
        <v>109</v>
      </c>
      <c r="F96" t="str">
        <f>TRIM(E96)</f>
        <v>Neha</v>
      </c>
      <c r="G96" t="s">
        <v>36</v>
      </c>
      <c r="H96">
        <v>73</v>
      </c>
      <c r="I96" t="str">
        <f t="shared" si="1"/>
        <v>Delhi</v>
      </c>
      <c r="J96" t="s">
        <v>44</v>
      </c>
      <c r="K96">
        <f ca="1"/>
        <v>29</v>
      </c>
      <c r="N96" t="s">
        <v>45</v>
      </c>
      <c r="O96">
        <v>2</v>
      </c>
      <c r="P96">
        <v>1250</v>
      </c>
      <c r="Q96">
        <v>15</v>
      </c>
      <c r="R96">
        <f>O96*P96</f>
        <v>2500</v>
      </c>
      <c r="S96" t="s">
        <v>27</v>
      </c>
      <c r="T96" t="str">
        <f>TRIM(S96)</f>
        <v>Card</v>
      </c>
      <c r="U96">
        <v>135</v>
      </c>
      <c r="V96" t="s">
        <v>20</v>
      </c>
      <c r="W96">
        <v>1</v>
      </c>
    </row>
    <row r="97" spans="1:23" hidden="1" x14ac:dyDescent="0.3">
      <c r="A97" t="s">
        <v>241</v>
      </c>
      <c r="B97" s="2">
        <v>46175</v>
      </c>
      <c r="C97" s="2" t="str">
        <v>Jun</v>
      </c>
      <c r="D97" t="s">
        <v>242</v>
      </c>
      <c r="E97" t="s">
        <v>80</v>
      </c>
      <c r="F97" t="str">
        <f>TRIM(E97)</f>
        <v>Varun</v>
      </c>
      <c r="G97" t="s">
        <v>40</v>
      </c>
      <c r="H97">
        <v>69</v>
      </c>
      <c r="I97" t="str">
        <f t="shared" si="1"/>
        <v>Gurugram</v>
      </c>
      <c r="J97" t="s">
        <v>113</v>
      </c>
      <c r="K97">
        <f ca="1"/>
        <v>26</v>
      </c>
      <c r="N97" t="s">
        <v>26</v>
      </c>
      <c r="O97">
        <v>1</v>
      </c>
      <c r="P97">
        <v>709</v>
      </c>
      <c r="Q97">
        <v>5</v>
      </c>
      <c r="R97">
        <f>O97*P97</f>
        <v>709</v>
      </c>
      <c r="S97" t="s">
        <v>19</v>
      </c>
      <c r="T97" t="str">
        <f>TRIM(S97)</f>
        <v>UPI</v>
      </c>
      <c r="U97">
        <v>200</v>
      </c>
      <c r="V97" t="s">
        <v>20</v>
      </c>
      <c r="W97">
        <v>2</v>
      </c>
    </row>
    <row r="98" spans="1:23" hidden="1" x14ac:dyDescent="0.3">
      <c r="A98" t="s">
        <v>243</v>
      </c>
      <c r="B98" s="2">
        <v>46034</v>
      </c>
      <c r="C98" s="2" t="str">
        <v>Jan</v>
      </c>
      <c r="D98" t="s">
        <v>29</v>
      </c>
      <c r="E98" t="s">
        <v>30</v>
      </c>
      <c r="F98" t="str">
        <f>TRIM(E98)</f>
        <v>Simran</v>
      </c>
      <c r="G98" t="s">
        <v>117</v>
      </c>
      <c r="H98">
        <v>40</v>
      </c>
      <c r="I98" t="str">
        <f t="shared" si="1"/>
        <v>Ghaziabad</v>
      </c>
      <c r="J98" t="s">
        <v>124</v>
      </c>
      <c r="K98">
        <f ca="1"/>
        <v>44</v>
      </c>
      <c r="N98" t="s">
        <v>55</v>
      </c>
      <c r="O98">
        <v>2</v>
      </c>
      <c r="P98">
        <v>1700</v>
      </c>
      <c r="Q98">
        <v>5</v>
      </c>
      <c r="R98">
        <f>O98*P98</f>
        <v>3400</v>
      </c>
      <c r="S98" t="s">
        <v>56</v>
      </c>
      <c r="T98" t="str">
        <f>TRIM(S98)</f>
        <v>COD</v>
      </c>
      <c r="U98">
        <v>129</v>
      </c>
      <c r="V98" t="s">
        <v>20</v>
      </c>
      <c r="W98">
        <v>5</v>
      </c>
    </row>
    <row r="99" spans="1:23" hidden="1" x14ac:dyDescent="0.3">
      <c r="A99" t="s">
        <v>244</v>
      </c>
      <c r="B99" s="2">
        <v>46203</v>
      </c>
      <c r="C99" s="2" t="str">
        <v>Jun</v>
      </c>
      <c r="D99" t="s">
        <v>93</v>
      </c>
      <c r="E99" t="s">
        <v>94</v>
      </c>
      <c r="F99" t="str">
        <f>TRIM(E99)</f>
        <v>Karan</v>
      </c>
      <c r="G99" t="s">
        <v>117</v>
      </c>
      <c r="H99">
        <v>40</v>
      </c>
      <c r="I99" t="str">
        <f t="shared" si="1"/>
        <v>Ghaziabad</v>
      </c>
      <c r="J99" t="s">
        <v>17</v>
      </c>
      <c r="K99">
        <f ca="1"/>
        <v>55</v>
      </c>
      <c r="N99" t="s">
        <v>18</v>
      </c>
      <c r="O99">
        <v>1</v>
      </c>
      <c r="P99">
        <v>19130</v>
      </c>
      <c r="Q99">
        <v>5</v>
      </c>
      <c r="R99">
        <f>O99*P99</f>
        <v>19130</v>
      </c>
      <c r="S99" t="s">
        <v>56</v>
      </c>
      <c r="T99" t="str">
        <f>TRIM(S99)</f>
        <v>COD</v>
      </c>
      <c r="U99">
        <v>129</v>
      </c>
      <c r="V99" t="s">
        <v>20</v>
      </c>
      <c r="W99">
        <v>3</v>
      </c>
    </row>
    <row r="100" spans="1:23" x14ac:dyDescent="0.3">
      <c r="A100" t="s">
        <v>245</v>
      </c>
      <c r="B100" s="2">
        <v>46120</v>
      </c>
      <c r="C100" s="2" t="str">
        <v>Apr</v>
      </c>
      <c r="D100" t="s">
        <v>246</v>
      </c>
      <c r="E100" t="s">
        <v>23</v>
      </c>
      <c r="F100" t="str">
        <f>TRIM(E100)</f>
        <v>Pooja</v>
      </c>
      <c r="G100" t="s">
        <v>31</v>
      </c>
      <c r="H100">
        <v>64</v>
      </c>
      <c r="I100" t="str">
        <f t="shared" si="1"/>
        <v>Noida</v>
      </c>
      <c r="J100" t="s">
        <v>95</v>
      </c>
      <c r="K100">
        <f ca="1"/>
        <v>28</v>
      </c>
      <c r="N100" t="s">
        <v>45</v>
      </c>
      <c r="O100">
        <v>1</v>
      </c>
      <c r="P100">
        <v>1300</v>
      </c>
      <c r="Q100">
        <v>0</v>
      </c>
      <c r="R100">
        <f>O100*P100</f>
        <v>1300</v>
      </c>
      <c r="S100" t="s">
        <v>19</v>
      </c>
      <c r="T100" t="str">
        <f>TRIM(S100)</f>
        <v>UPI</v>
      </c>
      <c r="U100">
        <v>200</v>
      </c>
      <c r="V100" t="s">
        <v>20</v>
      </c>
      <c r="W100">
        <v>1</v>
      </c>
    </row>
    <row r="101" spans="1:23" hidden="1" x14ac:dyDescent="0.3">
      <c r="A101" t="s">
        <v>247</v>
      </c>
      <c r="B101" s="2">
        <v>46176</v>
      </c>
      <c r="C101" s="2" t="str">
        <v>Jun</v>
      </c>
      <c r="D101" t="s">
        <v>248</v>
      </c>
      <c r="E101" t="s">
        <v>30</v>
      </c>
      <c r="F101" t="str">
        <f>TRIM(E101)</f>
        <v>Simran</v>
      </c>
      <c r="G101" t="s">
        <v>40</v>
      </c>
      <c r="H101">
        <v>69</v>
      </c>
      <c r="I101" t="str">
        <f t="shared" si="1"/>
        <v>Gurugram</v>
      </c>
      <c r="J101" t="s">
        <v>127</v>
      </c>
      <c r="K101">
        <f ca="1"/>
        <v>41</v>
      </c>
      <c r="N101" t="s">
        <v>55</v>
      </c>
      <c r="O101">
        <v>1</v>
      </c>
      <c r="P101">
        <v>500</v>
      </c>
      <c r="Q101">
        <v>10</v>
      </c>
      <c r="R101">
        <f>O101*P101</f>
        <v>500</v>
      </c>
      <c r="S101" t="s">
        <v>27</v>
      </c>
      <c r="T101" t="str">
        <f>TRIM(S101)</f>
        <v>Card</v>
      </c>
      <c r="U101">
        <v>135</v>
      </c>
      <c r="V101" t="s">
        <v>20</v>
      </c>
      <c r="W101">
        <v>4</v>
      </c>
    </row>
    <row r="102" spans="1:23" hidden="1" x14ac:dyDescent="0.3">
      <c r="A102" t="s">
        <v>249</v>
      </c>
      <c r="B102" s="2">
        <v>46130</v>
      </c>
      <c r="C102" s="2" t="str">
        <v>Apr</v>
      </c>
      <c r="D102" t="s">
        <v>183</v>
      </c>
      <c r="E102" t="s">
        <v>184</v>
      </c>
      <c r="F102" t="str">
        <f>TRIM(E102)</f>
        <v>Kavya</v>
      </c>
      <c r="G102" t="s">
        <v>81</v>
      </c>
      <c r="H102">
        <v>35</v>
      </c>
      <c r="I102" t="str">
        <f t="shared" si="1"/>
        <v>Faridabad</v>
      </c>
      <c r="J102" t="s">
        <v>124</v>
      </c>
      <c r="K102">
        <f ca="1"/>
        <v>44</v>
      </c>
      <c r="N102" t="s">
        <v>55</v>
      </c>
      <c r="O102">
        <v>1</v>
      </c>
      <c r="P102">
        <v>1600</v>
      </c>
      <c r="Q102">
        <v>0</v>
      </c>
      <c r="R102">
        <f>O102*P102</f>
        <v>1600</v>
      </c>
      <c r="S102" t="s">
        <v>56</v>
      </c>
      <c r="T102" t="str">
        <f>TRIM(S102)</f>
        <v>COD</v>
      </c>
      <c r="U102">
        <v>129</v>
      </c>
      <c r="V102" t="s">
        <v>20</v>
      </c>
      <c r="W102">
        <v>4</v>
      </c>
    </row>
    <row r="103" spans="1:23" hidden="1" x14ac:dyDescent="0.3">
      <c r="A103" t="s">
        <v>250</v>
      </c>
      <c r="B103" s="2">
        <v>46034</v>
      </c>
      <c r="C103" s="2" t="str">
        <v>Jan</v>
      </c>
      <c r="D103" t="s">
        <v>48</v>
      </c>
      <c r="E103" t="s">
        <v>23</v>
      </c>
      <c r="F103" t="str">
        <f>TRIM(E103)</f>
        <v>Pooja</v>
      </c>
      <c r="G103" t="s">
        <v>117</v>
      </c>
      <c r="H103">
        <v>40</v>
      </c>
      <c r="I103" t="str">
        <f t="shared" si="1"/>
        <v>Ghaziabad</v>
      </c>
      <c r="J103" t="s">
        <v>95</v>
      </c>
      <c r="K103">
        <f ca="1"/>
        <v>28</v>
      </c>
      <c r="N103" t="s">
        <v>45</v>
      </c>
      <c r="O103">
        <v>2</v>
      </c>
      <c r="P103">
        <v>950</v>
      </c>
      <c r="Q103">
        <v>10</v>
      </c>
      <c r="R103">
        <f>O103*P103</f>
        <v>1900</v>
      </c>
      <c r="S103" t="s">
        <v>56</v>
      </c>
      <c r="T103" t="str">
        <f>TRIM(S103)</f>
        <v>COD</v>
      </c>
      <c r="U103">
        <v>129</v>
      </c>
      <c r="V103" t="s">
        <v>20</v>
      </c>
      <c r="W103">
        <v>2</v>
      </c>
    </row>
    <row r="104" spans="1:23" x14ac:dyDescent="0.3">
      <c r="A104" t="s">
        <v>251</v>
      </c>
      <c r="B104" s="2">
        <v>46034</v>
      </c>
      <c r="C104" s="2" t="str">
        <v>Jan</v>
      </c>
      <c r="D104" t="s">
        <v>252</v>
      </c>
      <c r="E104" t="s">
        <v>94</v>
      </c>
      <c r="F104" t="str">
        <f>TRIM(E104)</f>
        <v>Karan</v>
      </c>
      <c r="G104" t="s">
        <v>31</v>
      </c>
      <c r="H104">
        <v>64</v>
      </c>
      <c r="I104" t="str">
        <f t="shared" si="1"/>
        <v>Noida</v>
      </c>
      <c r="J104" t="s">
        <v>95</v>
      </c>
      <c r="K104">
        <f ca="1"/>
        <v>28</v>
      </c>
      <c r="N104" t="s">
        <v>45</v>
      </c>
      <c r="O104">
        <v>1</v>
      </c>
      <c r="P104">
        <v>1400</v>
      </c>
      <c r="Q104">
        <v>15</v>
      </c>
      <c r="R104">
        <f>O104*P104</f>
        <v>1400</v>
      </c>
      <c r="S104" t="s">
        <v>91</v>
      </c>
      <c r="T104" t="str">
        <f>TRIM(S104)</f>
        <v>Net Banking</v>
      </c>
      <c r="U104">
        <v>36</v>
      </c>
      <c r="V104" t="s">
        <v>20</v>
      </c>
      <c r="W104">
        <v>3</v>
      </c>
    </row>
    <row r="105" spans="1:23" hidden="1" x14ac:dyDescent="0.3">
      <c r="A105" t="s">
        <v>253</v>
      </c>
      <c r="B105" s="2">
        <v>46101</v>
      </c>
      <c r="C105" s="2" t="str">
        <v>Mar</v>
      </c>
      <c r="D105" t="s">
        <v>254</v>
      </c>
      <c r="E105" t="s">
        <v>39</v>
      </c>
      <c r="F105" t="str">
        <f>TRIM(E105)</f>
        <v>Aman</v>
      </c>
      <c r="G105" t="s">
        <v>81</v>
      </c>
      <c r="H105">
        <v>35</v>
      </c>
      <c r="I105" t="str">
        <f t="shared" si="1"/>
        <v>Faridabad</v>
      </c>
      <c r="J105" t="s">
        <v>124</v>
      </c>
      <c r="K105">
        <f ca="1"/>
        <v>44</v>
      </c>
      <c r="N105" t="s">
        <v>55</v>
      </c>
      <c r="O105">
        <v>3</v>
      </c>
      <c r="P105">
        <v>3100</v>
      </c>
      <c r="Q105">
        <v>10</v>
      </c>
      <c r="R105">
        <f>O105*P105</f>
        <v>9300</v>
      </c>
      <c r="S105" t="s">
        <v>56</v>
      </c>
      <c r="T105" t="str">
        <f>TRIM(S105)</f>
        <v>COD</v>
      </c>
      <c r="U105">
        <v>129</v>
      </c>
      <c r="V105" t="s">
        <v>20</v>
      </c>
      <c r="W105">
        <v>5</v>
      </c>
    </row>
    <row r="106" spans="1:23" hidden="1" x14ac:dyDescent="0.3">
      <c r="A106" t="s">
        <v>255</v>
      </c>
      <c r="B106" s="2">
        <v>46125</v>
      </c>
      <c r="C106" s="2" t="str">
        <v>Apr</v>
      </c>
      <c r="D106" t="s">
        <v>256</v>
      </c>
      <c r="E106" t="s">
        <v>53</v>
      </c>
      <c r="F106" t="str">
        <f>TRIM(E106)</f>
        <v>Isha</v>
      </c>
      <c r="G106" t="s">
        <v>36</v>
      </c>
      <c r="H106">
        <v>73</v>
      </c>
      <c r="I106" t="str">
        <f t="shared" si="1"/>
        <v>Delhi</v>
      </c>
      <c r="J106" t="s">
        <v>62</v>
      </c>
      <c r="K106">
        <f ca="1"/>
        <v>33</v>
      </c>
      <c r="N106" t="s">
        <v>50</v>
      </c>
      <c r="O106">
        <v>1</v>
      </c>
      <c r="P106">
        <v>1103</v>
      </c>
      <c r="Q106">
        <v>0</v>
      </c>
      <c r="R106">
        <f>O106*P106</f>
        <v>1103</v>
      </c>
      <c r="S106" t="s">
        <v>27</v>
      </c>
      <c r="T106" t="str">
        <f>TRIM(S106)</f>
        <v>Card</v>
      </c>
      <c r="U106">
        <v>135</v>
      </c>
      <c r="V106" t="s">
        <v>20</v>
      </c>
      <c r="W106">
        <v>3</v>
      </c>
    </row>
    <row r="107" spans="1:23" hidden="1" x14ac:dyDescent="0.3">
      <c r="A107" t="s">
        <v>257</v>
      </c>
      <c r="B107" s="2">
        <v>46142</v>
      </c>
      <c r="C107" s="2" t="str">
        <v>Apr</v>
      </c>
      <c r="D107" t="s">
        <v>258</v>
      </c>
      <c r="E107" t="s">
        <v>53</v>
      </c>
      <c r="F107" t="str">
        <f>TRIM(E107)</f>
        <v>Isha</v>
      </c>
      <c r="G107" t="s">
        <v>40</v>
      </c>
      <c r="H107">
        <v>69</v>
      </c>
      <c r="I107" t="str">
        <f t="shared" si="1"/>
        <v>Gurugram</v>
      </c>
      <c r="J107" t="s">
        <v>68</v>
      </c>
      <c r="K107">
        <f ca="1"/>
        <v>23</v>
      </c>
      <c r="N107" t="s">
        <v>26</v>
      </c>
      <c r="O107">
        <v>1</v>
      </c>
      <c r="P107">
        <v>862</v>
      </c>
      <c r="Q107">
        <v>20</v>
      </c>
      <c r="R107">
        <f>O107*P107</f>
        <v>862</v>
      </c>
      <c r="S107" t="s">
        <v>27</v>
      </c>
      <c r="T107" t="str">
        <f>TRIM(S107)</f>
        <v>Card</v>
      </c>
      <c r="U107">
        <v>135</v>
      </c>
      <c r="V107" t="s">
        <v>20</v>
      </c>
      <c r="W107">
        <v>3</v>
      </c>
    </row>
    <row r="108" spans="1:23" hidden="1" x14ac:dyDescent="0.3">
      <c r="A108" t="s">
        <v>259</v>
      </c>
      <c r="B108" s="2">
        <v>46192</v>
      </c>
      <c r="C108" s="2" t="str">
        <v>Jun</v>
      </c>
      <c r="D108" t="s">
        <v>260</v>
      </c>
      <c r="E108" t="s">
        <v>61</v>
      </c>
      <c r="F108" t="str">
        <f>TRIM(E108)</f>
        <v>Nikhil</v>
      </c>
      <c r="G108" t="s">
        <v>24</v>
      </c>
      <c r="H108">
        <v>35</v>
      </c>
      <c r="I108" t="str">
        <f t="shared" si="1"/>
        <v>Chandigarh</v>
      </c>
      <c r="J108" t="s">
        <v>17</v>
      </c>
      <c r="K108">
        <f ca="1"/>
        <v>55</v>
      </c>
      <c r="N108" t="s">
        <v>18</v>
      </c>
      <c r="O108">
        <v>1</v>
      </c>
      <c r="P108">
        <v>22716</v>
      </c>
      <c r="Q108">
        <v>20</v>
      </c>
      <c r="R108">
        <f>O108*P108</f>
        <v>22716</v>
      </c>
      <c r="S108" t="s">
        <v>19</v>
      </c>
      <c r="T108" t="str">
        <f>TRIM(S108)</f>
        <v>UPI</v>
      </c>
      <c r="U108">
        <v>200</v>
      </c>
      <c r="V108" t="s">
        <v>20</v>
      </c>
      <c r="W108">
        <v>3</v>
      </c>
    </row>
    <row r="109" spans="1:23" hidden="1" x14ac:dyDescent="0.3">
      <c r="A109" t="s">
        <v>261</v>
      </c>
      <c r="B109" s="2">
        <v>46143</v>
      </c>
      <c r="C109" s="2" t="str">
        <v>May</v>
      </c>
      <c r="D109" t="s">
        <v>210</v>
      </c>
      <c r="E109" t="s">
        <v>101</v>
      </c>
      <c r="F109" t="str">
        <f>TRIM(E109)</f>
        <v>Arjun</v>
      </c>
      <c r="G109" t="s">
        <v>16</v>
      </c>
      <c r="H109">
        <v>49</v>
      </c>
      <c r="I109" t="str">
        <f t="shared" si="1"/>
        <v>Lucknow</v>
      </c>
      <c r="J109" t="s">
        <v>190</v>
      </c>
      <c r="K109">
        <f ca="1"/>
        <v>54</v>
      </c>
      <c r="N109" t="s">
        <v>55</v>
      </c>
      <c r="O109">
        <v>2</v>
      </c>
      <c r="P109">
        <v>900</v>
      </c>
      <c r="Q109">
        <v>0</v>
      </c>
      <c r="R109">
        <f>O109*P109</f>
        <v>1800</v>
      </c>
      <c r="S109" t="s">
        <v>27</v>
      </c>
      <c r="T109" t="str">
        <f>TRIM(S109)</f>
        <v>Card</v>
      </c>
      <c r="U109">
        <v>135</v>
      </c>
      <c r="V109" t="s">
        <v>20</v>
      </c>
      <c r="W109">
        <v>4</v>
      </c>
    </row>
    <row r="110" spans="1:23" x14ac:dyDescent="0.3">
      <c r="A110" t="s">
        <v>262</v>
      </c>
      <c r="B110" s="2">
        <v>46168</v>
      </c>
      <c r="C110" s="2" t="str">
        <v>May</v>
      </c>
      <c r="D110" t="s">
        <v>163</v>
      </c>
      <c r="E110" t="s">
        <v>39</v>
      </c>
      <c r="F110" t="str">
        <f>TRIM(E110)</f>
        <v>Aman</v>
      </c>
      <c r="G110" t="s">
        <v>31</v>
      </c>
      <c r="H110">
        <v>64</v>
      </c>
      <c r="I110" t="str">
        <f t="shared" si="1"/>
        <v>Noida</v>
      </c>
      <c r="J110" t="s">
        <v>156</v>
      </c>
      <c r="K110">
        <f ca="1"/>
        <v>35</v>
      </c>
      <c r="N110" t="s">
        <v>18</v>
      </c>
      <c r="O110">
        <v>4</v>
      </c>
      <c r="P110">
        <v>37060</v>
      </c>
      <c r="Q110">
        <v>5</v>
      </c>
      <c r="R110">
        <f>O110*P110</f>
        <v>148240</v>
      </c>
      <c r="S110" t="s">
        <v>19</v>
      </c>
      <c r="T110" t="str">
        <f>TRIM(S110)</f>
        <v>UPI</v>
      </c>
      <c r="U110">
        <v>200</v>
      </c>
      <c r="V110" t="s">
        <v>20</v>
      </c>
      <c r="W110">
        <v>5</v>
      </c>
    </row>
    <row r="111" spans="1:23" hidden="1" x14ac:dyDescent="0.3">
      <c r="A111" t="s">
        <v>263</v>
      </c>
      <c r="B111" s="2">
        <v>46110</v>
      </c>
      <c r="C111" s="2" t="str">
        <v>Mar</v>
      </c>
      <c r="D111" t="s">
        <v>264</v>
      </c>
      <c r="E111" t="s">
        <v>71</v>
      </c>
      <c r="F111" t="str">
        <f>TRIM(E111)</f>
        <v>Riya</v>
      </c>
      <c r="G111" t="s">
        <v>40</v>
      </c>
      <c r="H111">
        <v>69</v>
      </c>
      <c r="I111" t="str">
        <f t="shared" si="1"/>
        <v>Gurugram</v>
      </c>
      <c r="J111" t="s">
        <v>49</v>
      </c>
      <c r="K111">
        <f ca="1"/>
        <v>29</v>
      </c>
      <c r="N111" t="s">
        <v>50</v>
      </c>
      <c r="O111">
        <v>4</v>
      </c>
      <c r="P111">
        <v>738</v>
      </c>
      <c r="Q111">
        <v>5</v>
      </c>
      <c r="R111">
        <f>O111*P111</f>
        <v>2952</v>
      </c>
      <c r="S111" t="s">
        <v>91</v>
      </c>
      <c r="T111" t="str">
        <f>TRIM(S111)</f>
        <v>Net Banking</v>
      </c>
      <c r="U111">
        <v>36</v>
      </c>
      <c r="V111" t="s">
        <v>20</v>
      </c>
      <c r="W111">
        <v>3</v>
      </c>
    </row>
    <row r="112" spans="1:23" x14ac:dyDescent="0.3">
      <c r="A112" t="s">
        <v>265</v>
      </c>
      <c r="B112" s="2">
        <v>46132</v>
      </c>
      <c r="C112" s="2" t="str">
        <v>Apr</v>
      </c>
      <c r="D112" t="s">
        <v>266</v>
      </c>
      <c r="E112" t="s">
        <v>80</v>
      </c>
      <c r="F112" t="str">
        <f>TRIM(E112)</f>
        <v>Varun</v>
      </c>
      <c r="G112" t="s">
        <v>31</v>
      </c>
      <c r="H112">
        <v>64</v>
      </c>
      <c r="I112" t="str">
        <f t="shared" si="1"/>
        <v>Noida</v>
      </c>
      <c r="J112" t="s">
        <v>90</v>
      </c>
      <c r="K112">
        <f ca="1"/>
        <v>41</v>
      </c>
      <c r="N112" t="s">
        <v>18</v>
      </c>
      <c r="O112">
        <v>1</v>
      </c>
      <c r="P112">
        <v>15544</v>
      </c>
      <c r="Q112">
        <v>15</v>
      </c>
      <c r="R112">
        <f>O112*P112</f>
        <v>15544</v>
      </c>
      <c r="S112" t="s">
        <v>19</v>
      </c>
      <c r="T112" t="str">
        <f>TRIM(S112)</f>
        <v>UPI</v>
      </c>
      <c r="U112">
        <v>200</v>
      </c>
      <c r="V112" t="s">
        <v>20</v>
      </c>
      <c r="W112">
        <v>3</v>
      </c>
    </row>
    <row r="113" spans="1:23" hidden="1" x14ac:dyDescent="0.3">
      <c r="A113" t="s">
        <v>267</v>
      </c>
      <c r="B113" s="2">
        <v>46104</v>
      </c>
      <c r="C113" s="2" t="str">
        <v>Mar</v>
      </c>
      <c r="D113" t="s">
        <v>160</v>
      </c>
      <c r="E113" t="s">
        <v>161</v>
      </c>
      <c r="F113" t="str">
        <f>TRIM(E113)</f>
        <v>Ananya</v>
      </c>
      <c r="G113" t="s">
        <v>81</v>
      </c>
      <c r="H113">
        <v>35</v>
      </c>
      <c r="I113" t="str">
        <f t="shared" si="1"/>
        <v>Faridabad</v>
      </c>
      <c r="J113" t="s">
        <v>213</v>
      </c>
      <c r="K113">
        <f ca="1"/>
        <v>14</v>
      </c>
      <c r="N113" t="s">
        <v>18</v>
      </c>
      <c r="O113">
        <v>1</v>
      </c>
      <c r="P113">
        <v>10165</v>
      </c>
      <c r="Q113">
        <v>15</v>
      </c>
      <c r="R113">
        <f>O113*P113</f>
        <v>10165</v>
      </c>
      <c r="S113" t="s">
        <v>19</v>
      </c>
      <c r="T113" t="str">
        <f>TRIM(S113)</f>
        <v>UPI</v>
      </c>
      <c r="U113">
        <v>200</v>
      </c>
      <c r="V113" t="s">
        <v>46</v>
      </c>
      <c r="W113">
        <v>0</v>
      </c>
    </row>
    <row r="114" spans="1:23" hidden="1" x14ac:dyDescent="0.3">
      <c r="A114" t="s">
        <v>268</v>
      </c>
      <c r="B114" s="2">
        <v>46120</v>
      </c>
      <c r="C114" s="2" t="str">
        <v>Apr</v>
      </c>
      <c r="D114" t="s">
        <v>42</v>
      </c>
      <c r="E114" t="s">
        <v>43</v>
      </c>
      <c r="F114" t="str">
        <f>TRIM(E114)</f>
        <v>Aarav</v>
      </c>
      <c r="G114" t="s">
        <v>40</v>
      </c>
      <c r="H114">
        <v>69</v>
      </c>
      <c r="I114" t="str">
        <f t="shared" si="1"/>
        <v>Gurugram</v>
      </c>
      <c r="J114" t="s">
        <v>54</v>
      </c>
      <c r="K114">
        <f ca="1"/>
        <v>31</v>
      </c>
      <c r="N114" t="s">
        <v>55</v>
      </c>
      <c r="O114">
        <v>1</v>
      </c>
      <c r="P114">
        <v>3200</v>
      </c>
      <c r="Q114">
        <v>0</v>
      </c>
      <c r="R114">
        <f>O114*P114</f>
        <v>3200</v>
      </c>
      <c r="S114" t="s">
        <v>56</v>
      </c>
      <c r="T114" t="str">
        <f>TRIM(S114)</f>
        <v>COD</v>
      </c>
      <c r="U114">
        <v>129</v>
      </c>
      <c r="V114" t="s">
        <v>20</v>
      </c>
      <c r="W114">
        <v>3</v>
      </c>
    </row>
    <row r="115" spans="1:23" hidden="1" x14ac:dyDescent="0.3">
      <c r="A115" t="s">
        <v>269</v>
      </c>
      <c r="B115" s="2">
        <v>46047</v>
      </c>
      <c r="C115" s="2" t="str">
        <v>Jan</v>
      </c>
      <c r="D115" t="s">
        <v>270</v>
      </c>
      <c r="E115" t="s">
        <v>184</v>
      </c>
      <c r="F115" t="str">
        <f>TRIM(E115)</f>
        <v>Kavya</v>
      </c>
      <c r="G115" t="s">
        <v>117</v>
      </c>
      <c r="H115">
        <v>40</v>
      </c>
      <c r="I115" t="str">
        <f t="shared" si="1"/>
        <v>Ghaziabad</v>
      </c>
      <c r="J115" t="s">
        <v>32</v>
      </c>
      <c r="K115">
        <f ca="1"/>
        <v>36</v>
      </c>
      <c r="N115" t="s">
        <v>18</v>
      </c>
      <c r="O115">
        <v>1</v>
      </c>
      <c r="P115">
        <v>26302</v>
      </c>
      <c r="Q115">
        <v>10</v>
      </c>
      <c r="R115">
        <f>O115*P115</f>
        <v>26302</v>
      </c>
      <c r="S115" t="s">
        <v>19</v>
      </c>
      <c r="T115" t="str">
        <f>TRIM(S115)</f>
        <v>UPI</v>
      </c>
      <c r="U115">
        <v>200</v>
      </c>
      <c r="V115" t="s">
        <v>20</v>
      </c>
      <c r="W115">
        <v>5</v>
      </c>
    </row>
    <row r="116" spans="1:23" hidden="1" x14ac:dyDescent="0.3">
      <c r="A116" t="s">
        <v>271</v>
      </c>
      <c r="B116" s="2">
        <v>46078</v>
      </c>
      <c r="C116" s="2" t="str">
        <v>Feb</v>
      </c>
      <c r="D116" t="s">
        <v>192</v>
      </c>
      <c r="E116" t="s">
        <v>98</v>
      </c>
      <c r="F116" t="str">
        <f>TRIM(E116)</f>
        <v>Meera</v>
      </c>
      <c r="G116" t="s">
        <v>81</v>
      </c>
      <c r="H116">
        <v>35</v>
      </c>
      <c r="I116" t="str">
        <f t="shared" si="1"/>
        <v>Faridabad</v>
      </c>
      <c r="J116" t="s">
        <v>135</v>
      </c>
      <c r="K116">
        <f ca="1"/>
        <v>28</v>
      </c>
      <c r="N116" t="s">
        <v>50</v>
      </c>
      <c r="O116">
        <v>2</v>
      </c>
      <c r="P116">
        <v>1176</v>
      </c>
      <c r="Q116">
        <v>10</v>
      </c>
      <c r="R116">
        <f>O116*P116</f>
        <v>2352</v>
      </c>
      <c r="S116" t="s">
        <v>56</v>
      </c>
      <c r="T116" t="str">
        <f>TRIM(S116)</f>
        <v>COD</v>
      </c>
      <c r="U116">
        <v>129</v>
      </c>
      <c r="V116" t="s">
        <v>20</v>
      </c>
      <c r="W116">
        <v>4</v>
      </c>
    </row>
    <row r="117" spans="1:23" hidden="1" x14ac:dyDescent="0.3">
      <c r="A117" t="s">
        <v>272</v>
      </c>
      <c r="B117" s="2">
        <v>46081</v>
      </c>
      <c r="C117" s="2" t="str">
        <v>Feb</v>
      </c>
      <c r="D117" t="s">
        <v>273</v>
      </c>
      <c r="E117" t="s">
        <v>15</v>
      </c>
      <c r="F117" t="str">
        <f>TRIM(E117)</f>
        <v>Aditya</v>
      </c>
      <c r="G117" t="s">
        <v>36</v>
      </c>
      <c r="H117">
        <v>73</v>
      </c>
      <c r="I117" t="str">
        <f t="shared" si="1"/>
        <v>Delhi</v>
      </c>
      <c r="J117" t="s">
        <v>131</v>
      </c>
      <c r="K117">
        <f ca="1"/>
        <v>27</v>
      </c>
      <c r="N117" t="s">
        <v>55</v>
      </c>
      <c r="O117">
        <v>3</v>
      </c>
      <c r="P117">
        <v>2900</v>
      </c>
      <c r="Q117">
        <v>0</v>
      </c>
      <c r="R117">
        <f>O117*P117</f>
        <v>8700</v>
      </c>
      <c r="S117" t="s">
        <v>27</v>
      </c>
      <c r="T117" t="str">
        <f>TRIM(S117)</f>
        <v>Card</v>
      </c>
      <c r="U117">
        <v>135</v>
      </c>
      <c r="V117" t="s">
        <v>20</v>
      </c>
      <c r="W117">
        <v>6</v>
      </c>
    </row>
    <row r="118" spans="1:23" hidden="1" x14ac:dyDescent="0.3">
      <c r="A118" t="s">
        <v>274</v>
      </c>
      <c r="B118" s="2">
        <v>46160</v>
      </c>
      <c r="C118" s="2" t="str">
        <v>May</v>
      </c>
      <c r="D118" t="s">
        <v>275</v>
      </c>
      <c r="E118" t="s">
        <v>75</v>
      </c>
      <c r="F118" t="str">
        <f>TRIM(E118)</f>
        <v>Sneha</v>
      </c>
      <c r="G118" t="s">
        <v>16</v>
      </c>
      <c r="H118">
        <v>49</v>
      </c>
      <c r="I118" t="str">
        <f t="shared" si="1"/>
        <v>Lucknow</v>
      </c>
      <c r="J118" t="s">
        <v>90</v>
      </c>
      <c r="K118">
        <f ca="1"/>
        <v>41</v>
      </c>
      <c r="N118" t="s">
        <v>18</v>
      </c>
      <c r="O118">
        <v>1</v>
      </c>
      <c r="P118">
        <v>6579</v>
      </c>
      <c r="Q118">
        <v>15</v>
      </c>
      <c r="R118">
        <f>O118*P118</f>
        <v>6579</v>
      </c>
      <c r="S118" t="s">
        <v>19</v>
      </c>
      <c r="T118" t="str">
        <f>TRIM(S118)</f>
        <v>UPI</v>
      </c>
      <c r="U118">
        <v>200</v>
      </c>
      <c r="V118" t="s">
        <v>20</v>
      </c>
      <c r="W118">
        <v>3</v>
      </c>
    </row>
    <row r="119" spans="1:23" x14ac:dyDescent="0.3">
      <c r="A119" t="s">
        <v>276</v>
      </c>
      <c r="B119" s="2">
        <v>46068</v>
      </c>
      <c r="C119" s="2" t="str">
        <v>Feb</v>
      </c>
      <c r="D119" t="s">
        <v>115</v>
      </c>
      <c r="E119" t="s">
        <v>116</v>
      </c>
      <c r="F119" t="str">
        <f>TRIM(E119)</f>
        <v>Priya</v>
      </c>
      <c r="G119" t="s">
        <v>31</v>
      </c>
      <c r="H119">
        <v>64</v>
      </c>
      <c r="I119" t="str">
        <f t="shared" si="1"/>
        <v>Noida</v>
      </c>
      <c r="J119" t="s">
        <v>82</v>
      </c>
      <c r="K119">
        <f ca="1"/>
        <v>33</v>
      </c>
      <c r="N119" t="s">
        <v>50</v>
      </c>
      <c r="O119">
        <v>1</v>
      </c>
      <c r="P119">
        <v>2271</v>
      </c>
      <c r="Q119">
        <v>15</v>
      </c>
      <c r="R119">
        <f>O119*P119</f>
        <v>2271</v>
      </c>
      <c r="S119" t="s">
        <v>19</v>
      </c>
      <c r="T119" t="str">
        <f>TRIM(S119)</f>
        <v>UPI</v>
      </c>
      <c r="U119">
        <v>200</v>
      </c>
      <c r="V119" t="s">
        <v>20</v>
      </c>
      <c r="W119">
        <v>3</v>
      </c>
    </row>
    <row r="120" spans="1:23" hidden="1" x14ac:dyDescent="0.3">
      <c r="A120" t="s">
        <v>277</v>
      </c>
      <c r="B120" s="2">
        <v>46178</v>
      </c>
      <c r="C120" s="2" t="str">
        <v>Jun</v>
      </c>
      <c r="D120" t="s">
        <v>111</v>
      </c>
      <c r="E120" t="s">
        <v>71</v>
      </c>
      <c r="F120" t="str">
        <f>TRIM(E120)</f>
        <v>Riya</v>
      </c>
      <c r="G120" t="s">
        <v>117</v>
      </c>
      <c r="H120">
        <v>40</v>
      </c>
      <c r="I120" t="str">
        <f t="shared" si="1"/>
        <v>Ghaziabad</v>
      </c>
      <c r="J120" t="s">
        <v>95</v>
      </c>
      <c r="K120">
        <f ca="1"/>
        <v>28</v>
      </c>
      <c r="N120" t="s">
        <v>45</v>
      </c>
      <c r="O120">
        <v>3</v>
      </c>
      <c r="P120">
        <v>1200</v>
      </c>
      <c r="Q120">
        <v>10</v>
      </c>
      <c r="R120">
        <f>O120*P120</f>
        <v>3600</v>
      </c>
      <c r="S120" t="s">
        <v>19</v>
      </c>
      <c r="T120" t="str">
        <f>TRIM(S120)</f>
        <v>UPI</v>
      </c>
      <c r="U120">
        <v>200</v>
      </c>
      <c r="V120" t="s">
        <v>20</v>
      </c>
      <c r="W120">
        <v>1</v>
      </c>
    </row>
    <row r="121" spans="1:23" hidden="1" x14ac:dyDescent="0.3">
      <c r="A121" t="s">
        <v>278</v>
      </c>
      <c r="B121" s="2">
        <v>46034</v>
      </c>
      <c r="C121" s="2" t="str">
        <v>Jan</v>
      </c>
      <c r="D121" t="s">
        <v>279</v>
      </c>
      <c r="E121" t="s">
        <v>184</v>
      </c>
      <c r="F121" t="str">
        <f>TRIM(E121)</f>
        <v>Kavya</v>
      </c>
      <c r="G121" t="s">
        <v>36</v>
      </c>
      <c r="H121">
        <v>73</v>
      </c>
      <c r="I121" t="str">
        <f t="shared" si="1"/>
        <v>Delhi</v>
      </c>
      <c r="J121" t="s">
        <v>49</v>
      </c>
      <c r="K121">
        <f ca="1"/>
        <v>29</v>
      </c>
      <c r="N121" t="s">
        <v>50</v>
      </c>
      <c r="O121">
        <v>1</v>
      </c>
      <c r="P121">
        <v>1833</v>
      </c>
      <c r="Q121">
        <v>0</v>
      </c>
      <c r="R121">
        <f>O121*P121</f>
        <v>1833</v>
      </c>
      <c r="S121" t="s">
        <v>56</v>
      </c>
      <c r="T121" t="str">
        <f>TRIM(S121)</f>
        <v>COD</v>
      </c>
      <c r="U121">
        <v>129</v>
      </c>
      <c r="V121" t="s">
        <v>139</v>
      </c>
      <c r="W121">
        <v>4</v>
      </c>
    </row>
    <row r="122" spans="1:23" hidden="1" x14ac:dyDescent="0.3">
      <c r="A122" t="s">
        <v>280</v>
      </c>
      <c r="B122" s="2">
        <v>46051</v>
      </c>
      <c r="C122" s="2" t="str">
        <v>Jan</v>
      </c>
      <c r="D122" t="s">
        <v>97</v>
      </c>
      <c r="E122" t="s">
        <v>98</v>
      </c>
      <c r="F122" t="str">
        <f>TRIM(E122)</f>
        <v>Meera</v>
      </c>
      <c r="G122" t="s">
        <v>36</v>
      </c>
      <c r="H122">
        <v>73</v>
      </c>
      <c r="I122" t="str">
        <f t="shared" si="1"/>
        <v>Delhi</v>
      </c>
      <c r="J122" t="s">
        <v>54</v>
      </c>
      <c r="K122">
        <f ca="1"/>
        <v>31</v>
      </c>
      <c r="N122" t="s">
        <v>55</v>
      </c>
      <c r="O122">
        <v>2</v>
      </c>
      <c r="P122">
        <v>1500</v>
      </c>
      <c r="Q122">
        <v>5</v>
      </c>
      <c r="R122">
        <f>O122*P122</f>
        <v>3000</v>
      </c>
      <c r="S122" t="s">
        <v>19</v>
      </c>
      <c r="T122" t="str">
        <f>TRIM(S122)</f>
        <v>UPI</v>
      </c>
      <c r="U122">
        <v>200</v>
      </c>
      <c r="V122" t="s">
        <v>139</v>
      </c>
      <c r="W122">
        <v>4</v>
      </c>
    </row>
    <row r="123" spans="1:23" hidden="1" x14ac:dyDescent="0.3">
      <c r="A123" t="s">
        <v>281</v>
      </c>
      <c r="B123" s="2">
        <v>46163</v>
      </c>
      <c r="C123" s="2" t="str">
        <v>May</v>
      </c>
      <c r="D123" t="s">
        <v>160</v>
      </c>
      <c r="E123" t="s">
        <v>161</v>
      </c>
      <c r="F123" t="str">
        <f>TRIM(E123)</f>
        <v>Ananya</v>
      </c>
      <c r="G123" t="s">
        <v>65</v>
      </c>
      <c r="H123">
        <v>36</v>
      </c>
      <c r="I123" t="str">
        <f t="shared" si="1"/>
        <v>Jaipur</v>
      </c>
      <c r="J123" t="s">
        <v>135</v>
      </c>
      <c r="K123">
        <f ca="1"/>
        <v>28</v>
      </c>
      <c r="N123" t="s">
        <v>50</v>
      </c>
      <c r="O123">
        <v>1</v>
      </c>
      <c r="P123">
        <v>2344</v>
      </c>
      <c r="Q123">
        <v>15</v>
      </c>
      <c r="R123">
        <f>O123*P123</f>
        <v>2344</v>
      </c>
      <c r="S123" t="s">
        <v>56</v>
      </c>
      <c r="T123" t="str">
        <f>TRIM(S123)</f>
        <v>COD</v>
      </c>
      <c r="U123">
        <v>129</v>
      </c>
      <c r="V123" t="s">
        <v>20</v>
      </c>
      <c r="W123">
        <v>4</v>
      </c>
    </row>
    <row r="124" spans="1:23" x14ac:dyDescent="0.3">
      <c r="A124" t="s">
        <v>282</v>
      </c>
      <c r="B124" s="2">
        <v>46106</v>
      </c>
      <c r="C124" s="2" t="str">
        <v>Mar</v>
      </c>
      <c r="D124" t="s">
        <v>283</v>
      </c>
      <c r="E124" t="s">
        <v>35</v>
      </c>
      <c r="F124" t="str">
        <f>TRIM(E124)</f>
        <v>Rohan</v>
      </c>
      <c r="G124" t="s">
        <v>31</v>
      </c>
      <c r="H124">
        <v>64</v>
      </c>
      <c r="I124" t="str">
        <f t="shared" si="1"/>
        <v>Noida</v>
      </c>
      <c r="J124" t="s">
        <v>54</v>
      </c>
      <c r="K124">
        <f ca="1"/>
        <v>31</v>
      </c>
      <c r="N124" t="s">
        <v>55</v>
      </c>
      <c r="O124">
        <v>1</v>
      </c>
      <c r="P124">
        <v>3100</v>
      </c>
      <c r="Q124">
        <v>20</v>
      </c>
      <c r="R124">
        <f>O124*P124</f>
        <v>3100</v>
      </c>
      <c r="S124" t="s">
        <v>19</v>
      </c>
      <c r="T124" t="str">
        <f>TRIM(S124)</f>
        <v>UPI</v>
      </c>
      <c r="U124">
        <v>200</v>
      </c>
      <c r="V124" t="s">
        <v>20</v>
      </c>
      <c r="W124">
        <v>5</v>
      </c>
    </row>
    <row r="125" spans="1:23" hidden="1" x14ac:dyDescent="0.3">
      <c r="A125" t="s">
        <v>284</v>
      </c>
      <c r="B125" s="2">
        <v>46047</v>
      </c>
      <c r="C125" s="2" t="str">
        <v>Jan</v>
      </c>
      <c r="D125" t="s">
        <v>285</v>
      </c>
      <c r="E125" t="s">
        <v>15</v>
      </c>
      <c r="F125" t="str">
        <f>TRIM(E125)</f>
        <v>Aditya</v>
      </c>
      <c r="G125" t="s">
        <v>81</v>
      </c>
      <c r="H125">
        <v>35</v>
      </c>
      <c r="I125" t="str">
        <f t="shared" si="1"/>
        <v>Faridabad</v>
      </c>
      <c r="J125" t="s">
        <v>141</v>
      </c>
      <c r="K125">
        <f ca="1"/>
        <v>34</v>
      </c>
      <c r="N125" t="s">
        <v>50</v>
      </c>
      <c r="O125">
        <v>1</v>
      </c>
      <c r="P125">
        <v>1395</v>
      </c>
      <c r="Q125">
        <v>0</v>
      </c>
      <c r="R125">
        <f>O125*P125</f>
        <v>1395</v>
      </c>
      <c r="S125" t="s">
        <v>19</v>
      </c>
      <c r="T125" t="str">
        <f>TRIM(S125)</f>
        <v>UPI</v>
      </c>
      <c r="U125">
        <v>200</v>
      </c>
      <c r="V125" t="s">
        <v>20</v>
      </c>
      <c r="W125">
        <v>3</v>
      </c>
    </row>
    <row r="126" spans="1:23" hidden="1" x14ac:dyDescent="0.3">
      <c r="A126" t="s">
        <v>286</v>
      </c>
      <c r="B126" s="2">
        <v>46153</v>
      </c>
      <c r="C126" s="2" t="str">
        <v>May</v>
      </c>
      <c r="D126" t="s">
        <v>111</v>
      </c>
      <c r="E126" t="s">
        <v>71</v>
      </c>
      <c r="F126" t="str">
        <f>TRIM(E126)</f>
        <v>Riya</v>
      </c>
      <c r="G126" t="s">
        <v>16</v>
      </c>
      <c r="H126">
        <v>49</v>
      </c>
      <c r="I126" t="str">
        <f t="shared" si="1"/>
        <v>Lucknow</v>
      </c>
      <c r="J126" t="s">
        <v>190</v>
      </c>
      <c r="K126">
        <f ca="1"/>
        <v>54</v>
      </c>
      <c r="N126" t="s">
        <v>55</v>
      </c>
      <c r="O126">
        <v>1</v>
      </c>
      <c r="P126">
        <v>3000</v>
      </c>
      <c r="Q126">
        <v>15</v>
      </c>
      <c r="R126">
        <f>O126*P126</f>
        <v>3000</v>
      </c>
      <c r="S126" t="s">
        <v>27</v>
      </c>
      <c r="T126" t="str">
        <f>TRIM(S126)</f>
        <v>Card</v>
      </c>
      <c r="U126">
        <v>135</v>
      </c>
      <c r="V126" t="s">
        <v>20</v>
      </c>
      <c r="W126">
        <v>3</v>
      </c>
    </row>
    <row r="127" spans="1:23" hidden="1" x14ac:dyDescent="0.3">
      <c r="A127" t="s">
        <v>287</v>
      </c>
      <c r="B127" s="2">
        <v>46148</v>
      </c>
      <c r="C127" s="2" t="str">
        <v>May</v>
      </c>
      <c r="D127" t="s">
        <v>230</v>
      </c>
      <c r="E127" t="s">
        <v>231</v>
      </c>
      <c r="F127" t="str">
        <f>TRIM(E127)</f>
        <v>Vivek</v>
      </c>
      <c r="G127" t="s">
        <v>81</v>
      </c>
      <c r="H127">
        <v>35</v>
      </c>
      <c r="I127" t="str">
        <f t="shared" si="1"/>
        <v>Faridabad</v>
      </c>
      <c r="J127" t="s">
        <v>127</v>
      </c>
      <c r="K127">
        <f ca="1"/>
        <v>41</v>
      </c>
      <c r="N127" t="s">
        <v>55</v>
      </c>
      <c r="O127">
        <v>1</v>
      </c>
      <c r="P127">
        <v>3200</v>
      </c>
      <c r="Q127">
        <v>10</v>
      </c>
      <c r="R127">
        <f>O127*P127</f>
        <v>3200</v>
      </c>
      <c r="S127" t="s">
        <v>19</v>
      </c>
      <c r="T127" t="str">
        <f>TRIM(S127)</f>
        <v>UPI</v>
      </c>
      <c r="U127">
        <v>200</v>
      </c>
      <c r="V127" t="s">
        <v>20</v>
      </c>
      <c r="W127">
        <v>4</v>
      </c>
    </row>
    <row r="128" spans="1:23" hidden="1" x14ac:dyDescent="0.3">
      <c r="A128" t="s">
        <v>288</v>
      </c>
      <c r="B128" s="2">
        <v>46043</v>
      </c>
      <c r="C128" s="2" t="str">
        <v>Jan</v>
      </c>
      <c r="D128" t="s">
        <v>205</v>
      </c>
      <c r="E128" t="s">
        <v>98</v>
      </c>
      <c r="F128" t="str">
        <f>TRIM(E128)</f>
        <v>Meera</v>
      </c>
      <c r="G128" t="s">
        <v>36</v>
      </c>
      <c r="H128">
        <v>73</v>
      </c>
      <c r="I128" t="str">
        <f t="shared" si="1"/>
        <v>Delhi</v>
      </c>
      <c r="J128" t="s">
        <v>54</v>
      </c>
      <c r="K128">
        <f ca="1"/>
        <v>31</v>
      </c>
      <c r="N128" t="s">
        <v>55</v>
      </c>
      <c r="O128">
        <v>2</v>
      </c>
      <c r="P128">
        <v>1700</v>
      </c>
      <c r="Q128">
        <v>25</v>
      </c>
      <c r="R128">
        <f>O128*P128</f>
        <v>3400</v>
      </c>
      <c r="S128" t="s">
        <v>56</v>
      </c>
      <c r="T128" t="str">
        <f>TRIM(S128)</f>
        <v>COD</v>
      </c>
      <c r="U128">
        <v>129</v>
      </c>
      <c r="V128" t="s">
        <v>20</v>
      </c>
      <c r="W128">
        <v>2</v>
      </c>
    </row>
    <row r="129" spans="1:23" hidden="1" x14ac:dyDescent="0.3">
      <c r="A129" t="s">
        <v>289</v>
      </c>
      <c r="B129" s="2">
        <v>46110</v>
      </c>
      <c r="C129" s="2" t="str">
        <v>Mar</v>
      </c>
      <c r="D129" t="s">
        <v>290</v>
      </c>
      <c r="E129" t="s">
        <v>80</v>
      </c>
      <c r="F129" t="str">
        <f>TRIM(E129)</f>
        <v>Varun</v>
      </c>
      <c r="G129" t="s">
        <v>36</v>
      </c>
      <c r="H129">
        <v>73</v>
      </c>
      <c r="I129" t="str">
        <f t="shared" si="1"/>
        <v>Delhi</v>
      </c>
      <c r="J129" t="s">
        <v>32</v>
      </c>
      <c r="K129">
        <f ca="1"/>
        <v>36</v>
      </c>
      <c r="N129" t="s">
        <v>18</v>
      </c>
      <c r="O129">
        <v>1</v>
      </c>
      <c r="P129">
        <v>35267</v>
      </c>
      <c r="Q129">
        <v>15</v>
      </c>
      <c r="R129">
        <f>O129*P129</f>
        <v>35267</v>
      </c>
      <c r="S129" t="s">
        <v>91</v>
      </c>
      <c r="T129" t="str">
        <f>TRIM(S129)</f>
        <v>Net Banking</v>
      </c>
      <c r="U129">
        <v>36</v>
      </c>
      <c r="V129" t="s">
        <v>20</v>
      </c>
      <c r="W129">
        <v>5</v>
      </c>
    </row>
    <row r="130" spans="1:23" hidden="1" x14ac:dyDescent="0.3">
      <c r="A130" t="s">
        <v>291</v>
      </c>
      <c r="B130" s="2">
        <v>46183</v>
      </c>
      <c r="C130" s="2" t="str">
        <v>Jun</v>
      </c>
      <c r="D130" t="s">
        <v>292</v>
      </c>
      <c r="E130" t="s">
        <v>98</v>
      </c>
      <c r="F130" t="str">
        <f>TRIM(E130)</f>
        <v>Meera</v>
      </c>
      <c r="G130" t="s">
        <v>16</v>
      </c>
      <c r="H130">
        <v>49</v>
      </c>
      <c r="I130" t="str">
        <f t="shared" si="1"/>
        <v>Lucknow</v>
      </c>
      <c r="J130" t="s">
        <v>124</v>
      </c>
      <c r="K130">
        <f ca="1"/>
        <v>44</v>
      </c>
      <c r="N130" t="s">
        <v>55</v>
      </c>
      <c r="O130">
        <v>1</v>
      </c>
      <c r="P130">
        <v>1000</v>
      </c>
      <c r="Q130">
        <v>10</v>
      </c>
      <c r="R130">
        <f>O130*P130</f>
        <v>1000</v>
      </c>
      <c r="S130" t="s">
        <v>56</v>
      </c>
      <c r="T130" t="str">
        <f>TRIM(S130)</f>
        <v>COD</v>
      </c>
      <c r="U130">
        <v>129</v>
      </c>
      <c r="V130" t="s">
        <v>20</v>
      </c>
      <c r="W130">
        <v>5</v>
      </c>
    </row>
    <row r="131" spans="1:23" hidden="1" x14ac:dyDescent="0.3">
      <c r="A131" t="s">
        <v>293</v>
      </c>
      <c r="B131" s="2">
        <v>46194</v>
      </c>
      <c r="C131" s="2" t="str">
        <v>Jun</v>
      </c>
      <c r="D131" t="s">
        <v>266</v>
      </c>
      <c r="E131" t="s">
        <v>80</v>
      </c>
      <c r="F131" t="str">
        <f>TRIM(E131)</f>
        <v>Varun</v>
      </c>
      <c r="G131" t="s">
        <v>36</v>
      </c>
      <c r="H131">
        <v>73</v>
      </c>
      <c r="I131" t="str">
        <f t="shared" ref="I131:I194" si="2">TRIM(G131)</f>
        <v>Delhi</v>
      </c>
      <c r="J131" t="s">
        <v>62</v>
      </c>
      <c r="K131">
        <f ca="1"/>
        <v>33</v>
      </c>
      <c r="N131" t="s">
        <v>50</v>
      </c>
      <c r="O131">
        <v>1</v>
      </c>
      <c r="P131">
        <v>2198</v>
      </c>
      <c r="Q131">
        <v>20</v>
      </c>
      <c r="R131">
        <f>O131*P131</f>
        <v>2198</v>
      </c>
      <c r="S131" t="s">
        <v>19</v>
      </c>
      <c r="T131" t="str">
        <f>TRIM(S131)</f>
        <v>UPI</v>
      </c>
      <c r="U131">
        <v>200</v>
      </c>
      <c r="V131" t="s">
        <v>20</v>
      </c>
      <c r="W131">
        <v>4</v>
      </c>
    </row>
    <row r="132" spans="1:23" hidden="1" x14ac:dyDescent="0.3">
      <c r="A132" t="s">
        <v>294</v>
      </c>
      <c r="B132" s="2">
        <v>46114</v>
      </c>
      <c r="C132" s="2" t="str">
        <v>Apr</v>
      </c>
      <c r="D132" t="s">
        <v>295</v>
      </c>
      <c r="E132" t="s">
        <v>94</v>
      </c>
      <c r="F132" t="str">
        <f>TRIM(E132)</f>
        <v>Karan</v>
      </c>
      <c r="G132" t="s">
        <v>16</v>
      </c>
      <c r="H132">
        <v>49</v>
      </c>
      <c r="I132" t="str">
        <f t="shared" si="2"/>
        <v>Lucknow</v>
      </c>
      <c r="J132" t="s">
        <v>54</v>
      </c>
      <c r="K132">
        <f ca="1"/>
        <v>31</v>
      </c>
      <c r="N132" t="s">
        <v>55</v>
      </c>
      <c r="O132">
        <v>1</v>
      </c>
      <c r="P132">
        <v>3500</v>
      </c>
      <c r="Q132">
        <v>20</v>
      </c>
      <c r="R132">
        <f>O132*P132</f>
        <v>3500</v>
      </c>
      <c r="S132" t="s">
        <v>27</v>
      </c>
      <c r="T132" t="str">
        <f>TRIM(S132)</f>
        <v>Card</v>
      </c>
      <c r="U132">
        <v>135</v>
      </c>
      <c r="V132" t="s">
        <v>20</v>
      </c>
      <c r="W132">
        <v>5</v>
      </c>
    </row>
    <row r="133" spans="1:23" hidden="1" x14ac:dyDescent="0.3">
      <c r="A133" t="s">
        <v>296</v>
      </c>
      <c r="B133" s="2">
        <v>46149</v>
      </c>
      <c r="C133" s="2" t="str">
        <v>May</v>
      </c>
      <c r="D133" t="s">
        <v>258</v>
      </c>
      <c r="E133" t="s">
        <v>53</v>
      </c>
      <c r="F133" t="str">
        <f>TRIM(E133)</f>
        <v>Isha</v>
      </c>
      <c r="G133" t="s">
        <v>117</v>
      </c>
      <c r="H133">
        <v>40</v>
      </c>
      <c r="I133" t="str">
        <f t="shared" si="2"/>
        <v>Ghaziabad</v>
      </c>
      <c r="J133" t="s">
        <v>82</v>
      </c>
      <c r="K133">
        <f ca="1"/>
        <v>33</v>
      </c>
      <c r="N133" t="s">
        <v>50</v>
      </c>
      <c r="O133">
        <v>1</v>
      </c>
      <c r="P133">
        <v>1249</v>
      </c>
      <c r="Q133">
        <v>0</v>
      </c>
      <c r="R133">
        <f>O133*P133</f>
        <v>1249</v>
      </c>
      <c r="S133" t="s">
        <v>19</v>
      </c>
      <c r="T133" t="str">
        <f>TRIM(S133)</f>
        <v>UPI</v>
      </c>
      <c r="U133">
        <v>200</v>
      </c>
      <c r="V133" t="s">
        <v>20</v>
      </c>
      <c r="W133">
        <v>3</v>
      </c>
    </row>
    <row r="134" spans="1:23" hidden="1" x14ac:dyDescent="0.3">
      <c r="A134" t="s">
        <v>297</v>
      </c>
      <c r="B134" s="2">
        <v>46122</v>
      </c>
      <c r="C134" s="2" t="str">
        <v>Apr</v>
      </c>
      <c r="D134" t="s">
        <v>106</v>
      </c>
      <c r="E134" t="s">
        <v>71</v>
      </c>
      <c r="F134" t="str">
        <f>TRIM(E134)</f>
        <v>Riya</v>
      </c>
      <c r="G134" t="s">
        <v>81</v>
      </c>
      <c r="H134">
        <v>35</v>
      </c>
      <c r="I134" t="str">
        <f t="shared" si="2"/>
        <v>Faridabad</v>
      </c>
      <c r="J134" t="s">
        <v>95</v>
      </c>
      <c r="K134">
        <f ca="1"/>
        <v>28</v>
      </c>
      <c r="N134" t="s">
        <v>45</v>
      </c>
      <c r="O134">
        <v>1</v>
      </c>
      <c r="P134">
        <v>1250</v>
      </c>
      <c r="Q134">
        <v>0</v>
      </c>
      <c r="R134">
        <f>O134*P134</f>
        <v>1250</v>
      </c>
      <c r="S134" t="s">
        <v>19</v>
      </c>
      <c r="T134" t="str">
        <f>TRIM(S134)</f>
        <v>UPI</v>
      </c>
      <c r="U134">
        <v>200</v>
      </c>
      <c r="V134" t="s">
        <v>20</v>
      </c>
      <c r="W134">
        <v>2</v>
      </c>
    </row>
    <row r="135" spans="1:23" hidden="1" x14ac:dyDescent="0.3">
      <c r="A135" t="s">
        <v>298</v>
      </c>
      <c r="B135" s="2">
        <v>46118</v>
      </c>
      <c r="C135" s="2" t="str">
        <v>Apr</v>
      </c>
      <c r="D135" t="s">
        <v>299</v>
      </c>
      <c r="E135" t="s">
        <v>98</v>
      </c>
      <c r="F135" t="str">
        <f>TRIM(E135)</f>
        <v>Meera</v>
      </c>
      <c r="G135" t="s">
        <v>117</v>
      </c>
      <c r="H135">
        <v>40</v>
      </c>
      <c r="I135" t="str">
        <f t="shared" si="2"/>
        <v>Ghaziabad</v>
      </c>
      <c r="J135" t="s">
        <v>190</v>
      </c>
      <c r="K135">
        <f ca="1"/>
        <v>54</v>
      </c>
      <c r="N135" t="s">
        <v>55</v>
      </c>
      <c r="O135">
        <v>1</v>
      </c>
      <c r="P135">
        <v>1400</v>
      </c>
      <c r="Q135">
        <v>5</v>
      </c>
      <c r="R135">
        <f>O135*P135</f>
        <v>1400</v>
      </c>
      <c r="S135" t="s">
        <v>19</v>
      </c>
      <c r="T135" t="str">
        <f>TRIM(S135)</f>
        <v>UPI</v>
      </c>
      <c r="U135">
        <v>200</v>
      </c>
      <c r="V135" t="s">
        <v>20</v>
      </c>
      <c r="W135">
        <v>4</v>
      </c>
    </row>
    <row r="136" spans="1:23" hidden="1" x14ac:dyDescent="0.3">
      <c r="A136" t="s">
        <v>300</v>
      </c>
      <c r="B136" s="2">
        <v>46046</v>
      </c>
      <c r="C136" s="2" t="str">
        <v>Jan</v>
      </c>
      <c r="D136" t="s">
        <v>84</v>
      </c>
      <c r="E136" t="s">
        <v>35</v>
      </c>
      <c r="F136" t="str">
        <f>TRIM(E136)</f>
        <v>Rohan</v>
      </c>
      <c r="G136" t="s">
        <v>40</v>
      </c>
      <c r="H136">
        <v>69</v>
      </c>
      <c r="I136" t="str">
        <f t="shared" si="2"/>
        <v>Gurugram</v>
      </c>
      <c r="J136" t="s">
        <v>190</v>
      </c>
      <c r="K136">
        <f ca="1"/>
        <v>54</v>
      </c>
      <c r="N136" t="s">
        <v>55</v>
      </c>
      <c r="O136">
        <v>4</v>
      </c>
      <c r="P136">
        <v>3400</v>
      </c>
      <c r="Q136">
        <v>0</v>
      </c>
      <c r="R136">
        <f>O136*P136</f>
        <v>13600</v>
      </c>
      <c r="S136" t="s">
        <v>56</v>
      </c>
      <c r="T136" t="str">
        <f>TRIM(S136)</f>
        <v>COD</v>
      </c>
      <c r="U136">
        <v>129</v>
      </c>
      <c r="V136" t="s">
        <v>20</v>
      </c>
      <c r="W136">
        <v>5</v>
      </c>
    </row>
    <row r="137" spans="1:23" x14ac:dyDescent="0.3">
      <c r="A137" t="s">
        <v>301</v>
      </c>
      <c r="B137" s="2">
        <v>46139</v>
      </c>
      <c r="C137" s="2" t="str">
        <v>Apr</v>
      </c>
      <c r="D137" t="s">
        <v>302</v>
      </c>
      <c r="E137" t="s">
        <v>231</v>
      </c>
      <c r="F137" t="str">
        <f>TRIM(E137)</f>
        <v>Vivek</v>
      </c>
      <c r="G137" t="s">
        <v>31</v>
      </c>
      <c r="H137">
        <v>64</v>
      </c>
      <c r="I137" t="str">
        <f t="shared" si="2"/>
        <v>Noida</v>
      </c>
      <c r="J137" t="s">
        <v>82</v>
      </c>
      <c r="K137">
        <f ca="1"/>
        <v>33</v>
      </c>
      <c r="N137" t="s">
        <v>50</v>
      </c>
      <c r="O137">
        <v>1</v>
      </c>
      <c r="P137">
        <v>519</v>
      </c>
      <c r="Q137">
        <v>5</v>
      </c>
      <c r="R137">
        <f>O137*P137</f>
        <v>519</v>
      </c>
      <c r="S137" t="s">
        <v>27</v>
      </c>
      <c r="T137" t="str">
        <f>TRIM(S137)</f>
        <v>Card</v>
      </c>
      <c r="U137">
        <v>135</v>
      </c>
      <c r="V137" t="s">
        <v>46</v>
      </c>
      <c r="W137">
        <v>0</v>
      </c>
    </row>
    <row r="138" spans="1:23" hidden="1" x14ac:dyDescent="0.3">
      <c r="A138" t="s">
        <v>303</v>
      </c>
      <c r="B138" s="2">
        <v>46153</v>
      </c>
      <c r="C138" s="2" t="str">
        <v>May</v>
      </c>
      <c r="D138" t="s">
        <v>106</v>
      </c>
      <c r="E138" t="s">
        <v>71</v>
      </c>
      <c r="F138" t="str">
        <f>TRIM(E138)</f>
        <v>Riya</v>
      </c>
      <c r="G138" t="s">
        <v>117</v>
      </c>
      <c r="H138">
        <v>40</v>
      </c>
      <c r="I138" t="str">
        <f t="shared" si="2"/>
        <v>Ghaziabad</v>
      </c>
      <c r="J138" t="s">
        <v>49</v>
      </c>
      <c r="K138">
        <f ca="1"/>
        <v>29</v>
      </c>
      <c r="N138" t="s">
        <v>50</v>
      </c>
      <c r="O138">
        <v>2</v>
      </c>
      <c r="P138">
        <v>446</v>
      </c>
      <c r="Q138">
        <v>5</v>
      </c>
      <c r="R138">
        <f>O138*P138</f>
        <v>892</v>
      </c>
      <c r="S138" t="s">
        <v>27</v>
      </c>
      <c r="T138" t="str">
        <f>TRIM(S138)</f>
        <v>Card</v>
      </c>
      <c r="U138">
        <v>135</v>
      </c>
      <c r="V138" t="s">
        <v>20</v>
      </c>
      <c r="W138">
        <v>4</v>
      </c>
    </row>
    <row r="139" spans="1:23" hidden="1" x14ac:dyDescent="0.3">
      <c r="A139" t="s">
        <v>304</v>
      </c>
      <c r="B139" s="2">
        <v>46091</v>
      </c>
      <c r="C139" s="2" t="str">
        <v>Mar</v>
      </c>
      <c r="D139" t="s">
        <v>305</v>
      </c>
      <c r="E139" t="s">
        <v>15</v>
      </c>
      <c r="F139" t="str">
        <f>TRIM(E139)</f>
        <v>Aditya</v>
      </c>
      <c r="G139" t="s">
        <v>36</v>
      </c>
      <c r="H139">
        <v>73</v>
      </c>
      <c r="I139" t="str">
        <f t="shared" si="2"/>
        <v>Delhi</v>
      </c>
      <c r="J139" t="s">
        <v>190</v>
      </c>
      <c r="K139">
        <f ca="1"/>
        <v>54</v>
      </c>
      <c r="N139" t="s">
        <v>55</v>
      </c>
      <c r="O139">
        <v>1</v>
      </c>
      <c r="P139">
        <v>3300</v>
      </c>
      <c r="Q139">
        <v>10</v>
      </c>
      <c r="R139">
        <f>O139*P139</f>
        <v>3300</v>
      </c>
      <c r="S139" t="s">
        <v>19</v>
      </c>
      <c r="T139" t="str">
        <f>TRIM(S139)</f>
        <v>UPI</v>
      </c>
      <c r="U139">
        <v>200</v>
      </c>
      <c r="V139" t="s">
        <v>20</v>
      </c>
      <c r="W139">
        <v>1</v>
      </c>
    </row>
    <row r="140" spans="1:23" x14ac:dyDescent="0.3">
      <c r="A140" t="s">
        <v>306</v>
      </c>
      <c r="B140" s="2">
        <v>46167</v>
      </c>
      <c r="C140" s="2" t="str">
        <v>May</v>
      </c>
      <c r="D140" t="s">
        <v>307</v>
      </c>
      <c r="E140" t="s">
        <v>98</v>
      </c>
      <c r="F140" t="str">
        <f>TRIM(E140)</f>
        <v>Meera</v>
      </c>
      <c r="G140" t="s">
        <v>31</v>
      </c>
      <c r="H140">
        <v>64</v>
      </c>
      <c r="I140" t="str">
        <f t="shared" si="2"/>
        <v>Noida</v>
      </c>
      <c r="J140" t="s">
        <v>44</v>
      </c>
      <c r="K140">
        <f ca="1"/>
        <v>29</v>
      </c>
      <c r="N140" t="s">
        <v>45</v>
      </c>
      <c r="O140">
        <v>2</v>
      </c>
      <c r="P140">
        <v>250</v>
      </c>
      <c r="Q140">
        <v>5</v>
      </c>
      <c r="R140">
        <f>O140*P140</f>
        <v>500</v>
      </c>
      <c r="S140" t="s">
        <v>56</v>
      </c>
      <c r="T140" t="str">
        <f>TRIM(S140)</f>
        <v>COD</v>
      </c>
      <c r="U140">
        <v>129</v>
      </c>
      <c r="V140" t="s">
        <v>20</v>
      </c>
      <c r="W140">
        <v>1</v>
      </c>
    </row>
    <row r="141" spans="1:23" hidden="1" x14ac:dyDescent="0.3">
      <c r="A141" t="s">
        <v>308</v>
      </c>
      <c r="B141" s="2">
        <v>46032</v>
      </c>
      <c r="C141" s="2" t="str">
        <v>Jan</v>
      </c>
      <c r="D141" t="s">
        <v>309</v>
      </c>
      <c r="E141" t="s">
        <v>30</v>
      </c>
      <c r="F141" t="str">
        <f>TRIM(E141)</f>
        <v>Simran</v>
      </c>
      <c r="G141" t="s">
        <v>36</v>
      </c>
      <c r="H141">
        <v>73</v>
      </c>
      <c r="I141" t="str">
        <f t="shared" si="2"/>
        <v>Delhi</v>
      </c>
      <c r="J141" t="s">
        <v>90</v>
      </c>
      <c r="K141">
        <f ca="1"/>
        <v>41</v>
      </c>
      <c r="N141" t="s">
        <v>18</v>
      </c>
      <c r="O141">
        <v>1</v>
      </c>
      <c r="P141">
        <v>51404</v>
      </c>
      <c r="Q141">
        <v>15</v>
      </c>
      <c r="R141">
        <f>O141*P141</f>
        <v>51404</v>
      </c>
      <c r="S141" t="s">
        <v>27</v>
      </c>
      <c r="T141" t="str">
        <f>TRIM(S141)</f>
        <v>Card</v>
      </c>
      <c r="U141">
        <v>135</v>
      </c>
      <c r="V141" t="s">
        <v>20</v>
      </c>
      <c r="W141">
        <v>4</v>
      </c>
    </row>
    <row r="142" spans="1:23" x14ac:dyDescent="0.3">
      <c r="A142" t="s">
        <v>310</v>
      </c>
      <c r="B142" s="2">
        <v>46023</v>
      </c>
      <c r="C142" s="2" t="str">
        <v>Jan</v>
      </c>
      <c r="D142" t="s">
        <v>189</v>
      </c>
      <c r="E142" t="s">
        <v>30</v>
      </c>
      <c r="F142" t="str">
        <f>TRIM(E142)</f>
        <v>Simran</v>
      </c>
      <c r="G142" t="s">
        <v>31</v>
      </c>
      <c r="H142">
        <v>64</v>
      </c>
      <c r="I142" t="str">
        <f t="shared" si="2"/>
        <v>Noida</v>
      </c>
      <c r="J142" t="s">
        <v>190</v>
      </c>
      <c r="K142">
        <f ca="1"/>
        <v>54</v>
      </c>
      <c r="N142" t="s">
        <v>55</v>
      </c>
      <c r="O142">
        <v>1</v>
      </c>
      <c r="P142">
        <v>2900</v>
      </c>
      <c r="Q142">
        <v>5</v>
      </c>
      <c r="R142">
        <f>O142*P142</f>
        <v>2900</v>
      </c>
      <c r="S142" t="s">
        <v>27</v>
      </c>
      <c r="T142" t="str">
        <f>TRIM(S142)</f>
        <v>Card</v>
      </c>
      <c r="U142">
        <v>135</v>
      </c>
      <c r="V142" t="s">
        <v>20</v>
      </c>
      <c r="W142">
        <v>4</v>
      </c>
    </row>
    <row r="143" spans="1:23" hidden="1" x14ac:dyDescent="0.3">
      <c r="A143" t="s">
        <v>311</v>
      </c>
      <c r="B143" s="2">
        <v>46156</v>
      </c>
      <c r="C143" s="2" t="str">
        <v>May</v>
      </c>
      <c r="D143" t="s">
        <v>292</v>
      </c>
      <c r="E143" t="s">
        <v>98</v>
      </c>
      <c r="F143" t="str">
        <f>TRIM(E143)</f>
        <v>Meera</v>
      </c>
      <c r="G143" t="s">
        <v>36</v>
      </c>
      <c r="H143">
        <v>73</v>
      </c>
      <c r="I143" t="str">
        <f t="shared" si="2"/>
        <v>Delhi</v>
      </c>
      <c r="J143" t="s">
        <v>90</v>
      </c>
      <c r="K143">
        <f ca="1"/>
        <v>41</v>
      </c>
      <c r="N143" t="s">
        <v>18</v>
      </c>
      <c r="O143">
        <v>1</v>
      </c>
      <c r="P143">
        <v>24509</v>
      </c>
      <c r="Q143">
        <v>10</v>
      </c>
      <c r="R143">
        <f>O143*P143</f>
        <v>24509</v>
      </c>
      <c r="S143" t="s">
        <v>312</v>
      </c>
      <c r="T143" t="str">
        <f>TRIM(S143)</f>
        <v>UPI</v>
      </c>
      <c r="U143">
        <v>0</v>
      </c>
      <c r="V143" t="s">
        <v>20</v>
      </c>
      <c r="W143">
        <v>6</v>
      </c>
    </row>
    <row r="144" spans="1:23" hidden="1" x14ac:dyDescent="0.3">
      <c r="A144" t="s">
        <v>313</v>
      </c>
      <c r="B144" s="2">
        <v>46057</v>
      </c>
      <c r="C144" s="2" t="str">
        <v>Feb</v>
      </c>
      <c r="D144" t="s">
        <v>187</v>
      </c>
      <c r="E144" t="s">
        <v>98</v>
      </c>
      <c r="F144" t="str">
        <f>TRIM(E144)</f>
        <v>Meera</v>
      </c>
      <c r="G144" t="s">
        <v>40</v>
      </c>
      <c r="H144">
        <v>69</v>
      </c>
      <c r="I144" t="str">
        <f t="shared" si="2"/>
        <v>Gurugram</v>
      </c>
      <c r="J144" t="s">
        <v>95</v>
      </c>
      <c r="K144">
        <f ca="1"/>
        <v>28</v>
      </c>
      <c r="N144" t="s">
        <v>45</v>
      </c>
      <c r="O144">
        <v>1</v>
      </c>
      <c r="P144">
        <v>150</v>
      </c>
      <c r="Q144">
        <v>0</v>
      </c>
      <c r="R144">
        <f>O144*P144</f>
        <v>150</v>
      </c>
      <c r="S144" t="s">
        <v>19</v>
      </c>
      <c r="T144" t="str">
        <f>TRIM(S144)</f>
        <v>UPI</v>
      </c>
      <c r="U144">
        <v>200</v>
      </c>
      <c r="V144" t="s">
        <v>139</v>
      </c>
      <c r="W144">
        <v>2</v>
      </c>
    </row>
    <row r="145" spans="1:23" hidden="1" x14ac:dyDescent="0.3">
      <c r="A145" t="s">
        <v>314</v>
      </c>
      <c r="B145" s="2">
        <v>46193</v>
      </c>
      <c r="C145" s="2" t="str">
        <v>Jun</v>
      </c>
      <c r="D145" t="s">
        <v>292</v>
      </c>
      <c r="E145" t="s">
        <v>98</v>
      </c>
      <c r="F145" t="str">
        <f>TRIM(E145)</f>
        <v>Meera</v>
      </c>
      <c r="G145" t="s">
        <v>40</v>
      </c>
      <c r="H145">
        <v>69</v>
      </c>
      <c r="I145" t="str">
        <f t="shared" si="2"/>
        <v>Gurugram</v>
      </c>
      <c r="J145" t="s">
        <v>141</v>
      </c>
      <c r="K145">
        <f ca="1"/>
        <v>34</v>
      </c>
      <c r="N145" t="s">
        <v>50</v>
      </c>
      <c r="O145">
        <v>1</v>
      </c>
      <c r="P145">
        <v>1906</v>
      </c>
      <c r="Q145">
        <v>5</v>
      </c>
      <c r="R145">
        <f>O145*P145</f>
        <v>1906</v>
      </c>
      <c r="S145" t="s">
        <v>56</v>
      </c>
      <c r="T145" t="str">
        <f>TRIM(S145)</f>
        <v>COD</v>
      </c>
      <c r="U145">
        <v>129</v>
      </c>
      <c r="V145" t="s">
        <v>20</v>
      </c>
      <c r="W145">
        <v>4</v>
      </c>
    </row>
    <row r="146" spans="1:23" hidden="1" x14ac:dyDescent="0.3">
      <c r="A146" t="s">
        <v>315</v>
      </c>
      <c r="B146" s="2">
        <v>46030</v>
      </c>
      <c r="C146" s="2" t="str">
        <v>Jan</v>
      </c>
      <c r="D146" t="s">
        <v>316</v>
      </c>
      <c r="E146" t="s">
        <v>94</v>
      </c>
      <c r="F146" t="str">
        <f>TRIM(E146)</f>
        <v>Karan</v>
      </c>
      <c r="G146" t="s">
        <v>24</v>
      </c>
      <c r="H146">
        <v>35</v>
      </c>
      <c r="I146" t="str">
        <f t="shared" si="2"/>
        <v>Chandigarh</v>
      </c>
      <c r="J146" t="s">
        <v>17</v>
      </c>
      <c r="K146">
        <f ca="1"/>
        <v>55</v>
      </c>
      <c r="N146" t="s">
        <v>18</v>
      </c>
      <c r="O146">
        <v>2</v>
      </c>
      <c r="P146">
        <v>10165</v>
      </c>
      <c r="Q146">
        <v>0</v>
      </c>
      <c r="R146">
        <f>O146*P146</f>
        <v>20330</v>
      </c>
      <c r="S146" t="s">
        <v>27</v>
      </c>
      <c r="T146" t="str">
        <f>TRIM(S146)</f>
        <v>Card</v>
      </c>
      <c r="U146">
        <v>135</v>
      </c>
      <c r="V146" t="s">
        <v>20</v>
      </c>
      <c r="W146">
        <v>4</v>
      </c>
    </row>
    <row r="147" spans="1:23" hidden="1" x14ac:dyDescent="0.3">
      <c r="A147" t="s">
        <v>317</v>
      </c>
      <c r="B147" s="2">
        <v>46167</v>
      </c>
      <c r="C147" s="2" t="str">
        <v>May</v>
      </c>
      <c r="D147" t="s">
        <v>318</v>
      </c>
      <c r="E147" t="s">
        <v>30</v>
      </c>
      <c r="F147" t="str">
        <f>TRIM(E147)</f>
        <v>Simran</v>
      </c>
      <c r="G147" t="s">
        <v>16</v>
      </c>
      <c r="H147">
        <v>49</v>
      </c>
      <c r="I147" t="str">
        <f t="shared" si="2"/>
        <v>Lucknow</v>
      </c>
      <c r="J147" t="s">
        <v>72</v>
      </c>
      <c r="K147">
        <f ca="1"/>
        <v>14</v>
      </c>
      <c r="N147" t="s">
        <v>45</v>
      </c>
      <c r="O147">
        <v>1</v>
      </c>
      <c r="P147">
        <v>700</v>
      </c>
      <c r="Q147">
        <v>15</v>
      </c>
      <c r="R147">
        <f>O147*P147</f>
        <v>700</v>
      </c>
      <c r="S147" t="s">
        <v>56</v>
      </c>
      <c r="T147" t="str">
        <f>TRIM(S147)</f>
        <v>COD</v>
      </c>
      <c r="U147">
        <v>129</v>
      </c>
      <c r="V147" t="s">
        <v>20</v>
      </c>
      <c r="W147">
        <v>2</v>
      </c>
    </row>
    <row r="148" spans="1:23" x14ac:dyDescent="0.3">
      <c r="A148" t="s">
        <v>319</v>
      </c>
      <c r="B148" s="2">
        <v>46164</v>
      </c>
      <c r="C148" s="2" t="str">
        <v>May</v>
      </c>
      <c r="D148" t="s">
        <v>320</v>
      </c>
      <c r="E148" t="s">
        <v>75</v>
      </c>
      <c r="F148" t="str">
        <f>TRIM(E148)</f>
        <v>Sneha</v>
      </c>
      <c r="G148" t="s">
        <v>31</v>
      </c>
      <c r="H148">
        <v>64</v>
      </c>
      <c r="I148" t="str">
        <f t="shared" si="2"/>
        <v>Noida</v>
      </c>
      <c r="J148" t="s">
        <v>82</v>
      </c>
      <c r="K148">
        <f ca="1"/>
        <v>33</v>
      </c>
      <c r="N148" t="s">
        <v>50</v>
      </c>
      <c r="O148">
        <v>2</v>
      </c>
      <c r="P148">
        <v>2417</v>
      </c>
      <c r="Q148">
        <v>25</v>
      </c>
      <c r="R148">
        <f>O148*P148</f>
        <v>4834</v>
      </c>
      <c r="S148" t="s">
        <v>19</v>
      </c>
      <c r="T148" t="str">
        <f>TRIM(S148)</f>
        <v>UPI</v>
      </c>
      <c r="U148">
        <v>200</v>
      </c>
      <c r="V148" t="s">
        <v>139</v>
      </c>
      <c r="W148">
        <v>5</v>
      </c>
    </row>
    <row r="149" spans="1:23" x14ac:dyDescent="0.3">
      <c r="A149" t="s">
        <v>321</v>
      </c>
      <c r="B149" s="2">
        <v>46099</v>
      </c>
      <c r="C149" s="2" t="str">
        <v>Mar</v>
      </c>
      <c r="D149" t="s">
        <v>322</v>
      </c>
      <c r="E149" t="s">
        <v>161</v>
      </c>
      <c r="F149" t="str">
        <f>TRIM(E149)</f>
        <v>Ananya</v>
      </c>
      <c r="G149" t="s">
        <v>31</v>
      </c>
      <c r="H149">
        <v>64</v>
      </c>
      <c r="I149" t="str">
        <f t="shared" si="2"/>
        <v>Noida</v>
      </c>
      <c r="J149" t="s">
        <v>90</v>
      </c>
      <c r="K149">
        <f ca="1"/>
        <v>41</v>
      </c>
      <c r="N149" t="s">
        <v>18</v>
      </c>
      <c r="O149">
        <v>2</v>
      </c>
      <c r="P149">
        <v>51404</v>
      </c>
      <c r="Q149">
        <v>20</v>
      </c>
      <c r="R149">
        <f>O149*P149</f>
        <v>102808</v>
      </c>
      <c r="S149" t="s">
        <v>27</v>
      </c>
      <c r="T149" t="str">
        <f>TRIM(S149)</f>
        <v>Card</v>
      </c>
      <c r="U149">
        <v>135</v>
      </c>
      <c r="V149" t="s">
        <v>46</v>
      </c>
      <c r="W149">
        <v>0</v>
      </c>
    </row>
    <row r="150" spans="1:23" hidden="1" x14ac:dyDescent="0.3">
      <c r="A150" t="s">
        <v>323</v>
      </c>
      <c r="B150" s="2">
        <v>46045</v>
      </c>
      <c r="C150" s="2" t="str">
        <v>Jan</v>
      </c>
      <c r="D150" t="s">
        <v>215</v>
      </c>
      <c r="E150" t="s">
        <v>43</v>
      </c>
      <c r="F150" t="str">
        <f>TRIM(E150)</f>
        <v>Aarav</v>
      </c>
      <c r="G150" t="s">
        <v>40</v>
      </c>
      <c r="H150">
        <v>69</v>
      </c>
      <c r="I150" t="str">
        <f t="shared" si="2"/>
        <v>Gurugram</v>
      </c>
      <c r="J150" t="s">
        <v>68</v>
      </c>
      <c r="K150">
        <f ca="1"/>
        <v>23</v>
      </c>
      <c r="N150" t="s">
        <v>26</v>
      </c>
      <c r="O150">
        <v>1</v>
      </c>
      <c r="P150">
        <v>1270</v>
      </c>
      <c r="Q150">
        <v>5</v>
      </c>
      <c r="R150">
        <f>O150*P150</f>
        <v>1270</v>
      </c>
      <c r="S150" t="s">
        <v>19</v>
      </c>
      <c r="T150" t="str">
        <f>TRIM(S150)</f>
        <v>UPI</v>
      </c>
      <c r="U150">
        <v>200</v>
      </c>
      <c r="V150" t="s">
        <v>20</v>
      </c>
      <c r="W150">
        <v>2</v>
      </c>
    </row>
    <row r="151" spans="1:23" hidden="1" x14ac:dyDescent="0.3">
      <c r="A151" t="s">
        <v>324</v>
      </c>
      <c r="B151" s="2">
        <v>46115</v>
      </c>
      <c r="C151" s="2" t="str">
        <v>Apr</v>
      </c>
      <c r="D151" t="s">
        <v>325</v>
      </c>
      <c r="E151" t="s">
        <v>116</v>
      </c>
      <c r="F151" t="str">
        <f>TRIM(E151)</f>
        <v>Priya</v>
      </c>
      <c r="G151" t="s">
        <v>40</v>
      </c>
      <c r="H151">
        <v>69</v>
      </c>
      <c r="I151" t="str">
        <f t="shared" si="2"/>
        <v>Gurugram</v>
      </c>
      <c r="J151" t="s">
        <v>156</v>
      </c>
      <c r="K151">
        <f ca="1"/>
        <v>35</v>
      </c>
      <c r="N151" t="s">
        <v>18</v>
      </c>
      <c r="O151">
        <v>1</v>
      </c>
      <c r="P151">
        <v>4786</v>
      </c>
      <c r="Q151">
        <v>0</v>
      </c>
      <c r="R151">
        <f>O151*P151</f>
        <v>4786</v>
      </c>
      <c r="S151" t="s">
        <v>27</v>
      </c>
      <c r="T151" t="str">
        <f>TRIM(S151)</f>
        <v>Card</v>
      </c>
      <c r="U151">
        <v>135</v>
      </c>
      <c r="V151" t="s">
        <v>20</v>
      </c>
      <c r="W151">
        <v>3</v>
      </c>
    </row>
    <row r="152" spans="1:23" hidden="1" x14ac:dyDescent="0.3">
      <c r="A152" t="s">
        <v>326</v>
      </c>
      <c r="B152" s="2">
        <v>46107</v>
      </c>
      <c r="C152" s="2" t="str">
        <v>Mar</v>
      </c>
      <c r="D152" t="s">
        <v>327</v>
      </c>
      <c r="E152" t="s">
        <v>35</v>
      </c>
      <c r="F152" t="str">
        <f>TRIM(E152)</f>
        <v>Rohan</v>
      </c>
      <c r="G152" t="s">
        <v>65</v>
      </c>
      <c r="H152">
        <v>36</v>
      </c>
      <c r="I152" t="str">
        <f t="shared" si="2"/>
        <v>Jaipur</v>
      </c>
      <c r="J152" t="s">
        <v>141</v>
      </c>
      <c r="K152">
        <f ca="1"/>
        <v>34</v>
      </c>
      <c r="N152" t="s">
        <v>50</v>
      </c>
      <c r="O152">
        <v>2</v>
      </c>
      <c r="P152">
        <v>1760</v>
      </c>
      <c r="Q152">
        <v>0</v>
      </c>
      <c r="R152">
        <f>O152*P152</f>
        <v>3520</v>
      </c>
      <c r="S152" t="s">
        <v>19</v>
      </c>
      <c r="T152" t="str">
        <f>TRIM(S152)</f>
        <v>UPI</v>
      </c>
      <c r="U152">
        <v>200</v>
      </c>
      <c r="V152" t="s">
        <v>20</v>
      </c>
      <c r="W152">
        <v>6</v>
      </c>
    </row>
    <row r="153" spans="1:23" x14ac:dyDescent="0.3">
      <c r="A153" t="s">
        <v>328</v>
      </c>
      <c r="B153" s="2">
        <v>46037</v>
      </c>
      <c r="C153" s="2" t="str">
        <v>Jan</v>
      </c>
      <c r="D153" t="s">
        <v>108</v>
      </c>
      <c r="E153" t="s">
        <v>109</v>
      </c>
      <c r="F153" t="str">
        <f>TRIM(E153)</f>
        <v>Neha</v>
      </c>
      <c r="G153" t="s">
        <v>31</v>
      </c>
      <c r="H153">
        <v>64</v>
      </c>
      <c r="I153" t="str">
        <f t="shared" si="2"/>
        <v>Noida</v>
      </c>
      <c r="J153" t="s">
        <v>82</v>
      </c>
      <c r="K153">
        <f ca="1"/>
        <v>33</v>
      </c>
      <c r="N153" t="s">
        <v>50</v>
      </c>
      <c r="O153">
        <v>3</v>
      </c>
      <c r="P153">
        <v>1103</v>
      </c>
      <c r="Q153">
        <v>0</v>
      </c>
      <c r="R153">
        <f>O153*P153</f>
        <v>3309</v>
      </c>
      <c r="S153" t="s">
        <v>19</v>
      </c>
      <c r="T153" t="str">
        <f>TRIM(S153)</f>
        <v>UPI</v>
      </c>
      <c r="U153">
        <v>200</v>
      </c>
      <c r="V153" t="s">
        <v>20</v>
      </c>
      <c r="W153">
        <v>4</v>
      </c>
    </row>
    <row r="154" spans="1:23" hidden="1" x14ac:dyDescent="0.3">
      <c r="A154" t="s">
        <v>329</v>
      </c>
      <c r="B154" s="2">
        <v>46058</v>
      </c>
      <c r="C154" s="2" t="str">
        <v>Feb</v>
      </c>
      <c r="D154" t="s">
        <v>330</v>
      </c>
      <c r="E154" t="s">
        <v>231</v>
      </c>
      <c r="F154" t="str">
        <f>TRIM(E154)</f>
        <v>Vivek</v>
      </c>
      <c r="G154" t="s">
        <v>65</v>
      </c>
      <c r="H154">
        <v>36</v>
      </c>
      <c r="I154" t="str">
        <f t="shared" si="2"/>
        <v>Jaipur</v>
      </c>
      <c r="J154" t="s">
        <v>17</v>
      </c>
      <c r="K154">
        <f ca="1"/>
        <v>55</v>
      </c>
      <c r="N154" t="s">
        <v>18</v>
      </c>
      <c r="O154">
        <v>1</v>
      </c>
      <c r="P154">
        <v>22716</v>
      </c>
      <c r="Q154">
        <v>0</v>
      </c>
      <c r="R154">
        <f>O154*P154</f>
        <v>22716</v>
      </c>
      <c r="S154" t="s">
        <v>27</v>
      </c>
      <c r="T154" t="str">
        <f>TRIM(S154)</f>
        <v>Card</v>
      </c>
      <c r="U154">
        <v>135</v>
      </c>
      <c r="V154" t="s">
        <v>20</v>
      </c>
      <c r="W154">
        <v>4</v>
      </c>
    </row>
    <row r="155" spans="1:23" hidden="1" x14ac:dyDescent="0.3">
      <c r="A155" t="s">
        <v>331</v>
      </c>
      <c r="B155" s="2">
        <v>46049</v>
      </c>
      <c r="C155" s="2" t="str">
        <v>Jan</v>
      </c>
      <c r="D155" t="s">
        <v>332</v>
      </c>
      <c r="E155" t="s">
        <v>101</v>
      </c>
      <c r="F155" t="str">
        <f>TRIM(E155)</f>
        <v>Arjun</v>
      </c>
      <c r="G155" t="s">
        <v>65</v>
      </c>
      <c r="H155">
        <v>36</v>
      </c>
      <c r="I155" t="str">
        <f t="shared" si="2"/>
        <v>Jaipur</v>
      </c>
      <c r="J155" t="s">
        <v>82</v>
      </c>
      <c r="K155">
        <f ca="1"/>
        <v>33</v>
      </c>
      <c r="N155" t="s">
        <v>50</v>
      </c>
      <c r="O155">
        <v>2</v>
      </c>
      <c r="P155">
        <v>519</v>
      </c>
      <c r="Q155">
        <v>5</v>
      </c>
      <c r="R155">
        <f>O155*P155</f>
        <v>1038</v>
      </c>
      <c r="S155" t="s">
        <v>91</v>
      </c>
      <c r="T155" t="str">
        <f>TRIM(S155)</f>
        <v>Net Banking</v>
      </c>
      <c r="U155">
        <v>36</v>
      </c>
      <c r="V155" t="s">
        <v>20</v>
      </c>
      <c r="W155">
        <v>2</v>
      </c>
    </row>
    <row r="156" spans="1:23" hidden="1" x14ac:dyDescent="0.3">
      <c r="A156" t="s">
        <v>333</v>
      </c>
      <c r="B156" s="2">
        <v>46096</v>
      </c>
      <c r="C156" s="2" t="str">
        <v>Mar</v>
      </c>
      <c r="D156" t="s">
        <v>93</v>
      </c>
      <c r="E156" t="s">
        <v>94</v>
      </c>
      <c r="F156" t="str">
        <f>TRIM(E156)</f>
        <v>Karan</v>
      </c>
      <c r="G156" t="s">
        <v>16</v>
      </c>
      <c r="H156">
        <v>49</v>
      </c>
      <c r="I156" t="str">
        <f t="shared" si="2"/>
        <v>Lucknow</v>
      </c>
      <c r="J156" t="s">
        <v>156</v>
      </c>
      <c r="K156">
        <f ca="1"/>
        <v>35</v>
      </c>
      <c r="N156" t="s">
        <v>18</v>
      </c>
      <c r="O156">
        <v>1</v>
      </c>
      <c r="P156">
        <v>17337</v>
      </c>
      <c r="Q156">
        <v>20</v>
      </c>
      <c r="R156">
        <f>O156*P156</f>
        <v>17337</v>
      </c>
      <c r="S156" t="s">
        <v>27</v>
      </c>
      <c r="T156" t="str">
        <f>TRIM(S156)</f>
        <v>Card</v>
      </c>
      <c r="U156">
        <v>135</v>
      </c>
      <c r="V156" t="s">
        <v>20</v>
      </c>
      <c r="W156">
        <v>4</v>
      </c>
    </row>
    <row r="157" spans="1:23" x14ac:dyDescent="0.3">
      <c r="A157" t="s">
        <v>334</v>
      </c>
      <c r="B157" s="2">
        <v>46151</v>
      </c>
      <c r="C157" s="2" t="str">
        <v>May</v>
      </c>
      <c r="D157" t="s">
        <v>148</v>
      </c>
      <c r="E157" t="s">
        <v>149</v>
      </c>
      <c r="F157" t="str">
        <f>TRIM(E157)</f>
        <v>Rahul</v>
      </c>
      <c r="G157" t="s">
        <v>31</v>
      </c>
      <c r="H157">
        <v>64</v>
      </c>
      <c r="I157" t="str">
        <f t="shared" si="2"/>
        <v>Noida</v>
      </c>
      <c r="J157" t="s">
        <v>62</v>
      </c>
      <c r="K157">
        <f ca="1"/>
        <v>33</v>
      </c>
      <c r="N157" t="s">
        <v>50</v>
      </c>
      <c r="O157">
        <v>1</v>
      </c>
      <c r="P157">
        <v>1176</v>
      </c>
      <c r="Q157">
        <v>15</v>
      </c>
      <c r="R157">
        <f>O157*P157</f>
        <v>1176</v>
      </c>
      <c r="S157" t="s">
        <v>56</v>
      </c>
      <c r="T157" t="str">
        <f>TRIM(S157)</f>
        <v>COD</v>
      </c>
      <c r="U157">
        <v>129</v>
      </c>
      <c r="V157" t="s">
        <v>20</v>
      </c>
      <c r="W157">
        <v>4</v>
      </c>
    </row>
    <row r="158" spans="1:23" hidden="1" x14ac:dyDescent="0.3">
      <c r="A158" t="s">
        <v>335</v>
      </c>
      <c r="B158" s="2">
        <v>46143</v>
      </c>
      <c r="C158" s="2" t="str">
        <v>May</v>
      </c>
      <c r="D158" t="s">
        <v>336</v>
      </c>
      <c r="E158" t="s">
        <v>184</v>
      </c>
      <c r="F158" t="str">
        <f>TRIM(E158)</f>
        <v>Kavya</v>
      </c>
      <c r="G158" t="s">
        <v>16</v>
      </c>
      <c r="H158">
        <v>49</v>
      </c>
      <c r="I158" t="str">
        <f t="shared" si="2"/>
        <v>Lucknow</v>
      </c>
      <c r="J158" t="s">
        <v>72</v>
      </c>
      <c r="K158">
        <f ca="1"/>
        <v>14</v>
      </c>
      <c r="N158" t="s">
        <v>45</v>
      </c>
      <c r="O158">
        <v>1</v>
      </c>
      <c r="P158">
        <v>1400</v>
      </c>
      <c r="Q158">
        <v>5</v>
      </c>
      <c r="R158">
        <f>O158*P158</f>
        <v>1400</v>
      </c>
      <c r="S158" t="s">
        <v>56</v>
      </c>
      <c r="T158" t="str">
        <f>TRIM(S158)</f>
        <v>COD</v>
      </c>
      <c r="U158">
        <v>129</v>
      </c>
      <c r="V158" t="s">
        <v>20</v>
      </c>
      <c r="W158">
        <v>1</v>
      </c>
    </row>
    <row r="159" spans="1:23" hidden="1" x14ac:dyDescent="0.3">
      <c r="A159" t="s">
        <v>337</v>
      </c>
      <c r="B159" s="2">
        <v>46111</v>
      </c>
      <c r="C159" s="2" t="str">
        <v>Mar</v>
      </c>
      <c r="D159" t="s">
        <v>338</v>
      </c>
      <c r="E159" t="s">
        <v>61</v>
      </c>
      <c r="F159" t="str">
        <f>TRIM(E159)</f>
        <v>Nikhil</v>
      </c>
      <c r="G159" t="s">
        <v>36</v>
      </c>
      <c r="H159">
        <v>73</v>
      </c>
      <c r="I159" t="str">
        <f t="shared" si="2"/>
        <v>Delhi</v>
      </c>
      <c r="J159" t="s">
        <v>49</v>
      </c>
      <c r="K159">
        <f ca="1"/>
        <v>29</v>
      </c>
      <c r="N159" t="s">
        <v>50</v>
      </c>
      <c r="O159">
        <v>1</v>
      </c>
      <c r="P159">
        <v>1906</v>
      </c>
      <c r="Q159">
        <v>0</v>
      </c>
      <c r="R159">
        <f>O159*P159</f>
        <v>1906</v>
      </c>
      <c r="S159" t="s">
        <v>56</v>
      </c>
      <c r="T159" t="str">
        <f>TRIM(S159)</f>
        <v>COD</v>
      </c>
      <c r="U159">
        <v>129</v>
      </c>
      <c r="V159" t="s">
        <v>20</v>
      </c>
      <c r="W159">
        <v>3</v>
      </c>
    </row>
    <row r="160" spans="1:23" hidden="1" x14ac:dyDescent="0.3">
      <c r="A160" t="s">
        <v>339</v>
      </c>
      <c r="B160" s="2">
        <v>46059</v>
      </c>
      <c r="C160" s="2" t="str">
        <v>Feb</v>
      </c>
      <c r="D160" t="s">
        <v>283</v>
      </c>
      <c r="E160" t="s">
        <v>35</v>
      </c>
      <c r="F160" t="str">
        <f>TRIM(E160)</f>
        <v>Rohan</v>
      </c>
      <c r="G160" t="s">
        <v>117</v>
      </c>
      <c r="H160">
        <v>40</v>
      </c>
      <c r="I160" t="str">
        <f t="shared" si="2"/>
        <v>Ghaziabad</v>
      </c>
      <c r="J160" t="s">
        <v>62</v>
      </c>
      <c r="K160">
        <f ca="1"/>
        <v>33</v>
      </c>
      <c r="N160" t="s">
        <v>50</v>
      </c>
      <c r="O160">
        <v>1</v>
      </c>
      <c r="P160">
        <v>957</v>
      </c>
      <c r="Q160">
        <v>10</v>
      </c>
      <c r="R160">
        <f>O160*P160</f>
        <v>957</v>
      </c>
      <c r="S160" t="s">
        <v>19</v>
      </c>
      <c r="T160" t="str">
        <f>TRIM(S160)</f>
        <v>UPI</v>
      </c>
      <c r="U160">
        <v>200</v>
      </c>
      <c r="V160" t="s">
        <v>20</v>
      </c>
      <c r="W160">
        <v>3</v>
      </c>
    </row>
    <row r="161" spans="1:23" hidden="1" x14ac:dyDescent="0.3">
      <c r="A161" t="s">
        <v>340</v>
      </c>
      <c r="B161" s="2">
        <v>46057</v>
      </c>
      <c r="C161" s="2" t="str">
        <v>Feb</v>
      </c>
      <c r="D161" t="s">
        <v>341</v>
      </c>
      <c r="E161" t="s">
        <v>149</v>
      </c>
      <c r="F161" t="str">
        <f>TRIM(E161)</f>
        <v>Rahul</v>
      </c>
      <c r="G161" t="s">
        <v>117</v>
      </c>
      <c r="H161">
        <v>40</v>
      </c>
      <c r="I161" t="str">
        <f t="shared" si="2"/>
        <v>Ghaziabad</v>
      </c>
      <c r="J161" t="s">
        <v>82</v>
      </c>
      <c r="K161">
        <f ca="1"/>
        <v>33</v>
      </c>
      <c r="N161" t="s">
        <v>50</v>
      </c>
      <c r="O161">
        <v>1</v>
      </c>
      <c r="P161">
        <v>1833</v>
      </c>
      <c r="Q161">
        <v>15</v>
      </c>
      <c r="R161">
        <f>O161*P161</f>
        <v>1833</v>
      </c>
      <c r="S161" t="s">
        <v>19</v>
      </c>
      <c r="T161" t="str">
        <f>TRIM(S161)</f>
        <v>UPI</v>
      </c>
      <c r="U161">
        <v>200</v>
      </c>
      <c r="V161" t="s">
        <v>20</v>
      </c>
      <c r="W161">
        <v>4</v>
      </c>
    </row>
    <row r="162" spans="1:23" hidden="1" x14ac:dyDescent="0.3">
      <c r="A162" t="s">
        <v>342</v>
      </c>
      <c r="B162" s="2">
        <v>46064</v>
      </c>
      <c r="C162" s="2" t="str">
        <v>Feb</v>
      </c>
      <c r="D162" t="s">
        <v>305</v>
      </c>
      <c r="E162" t="s">
        <v>15</v>
      </c>
      <c r="F162" t="str">
        <f>TRIM(E162)</f>
        <v>Aditya</v>
      </c>
      <c r="G162" t="s">
        <v>65</v>
      </c>
      <c r="H162">
        <v>36</v>
      </c>
      <c r="I162" t="str">
        <f t="shared" si="2"/>
        <v>Jaipur</v>
      </c>
      <c r="J162" t="s">
        <v>88</v>
      </c>
      <c r="K162">
        <f ca="1"/>
        <v>17</v>
      </c>
      <c r="N162" t="s">
        <v>26</v>
      </c>
      <c r="O162">
        <v>1</v>
      </c>
      <c r="P162">
        <v>607</v>
      </c>
      <c r="Q162">
        <v>10</v>
      </c>
      <c r="R162">
        <f>O162*P162</f>
        <v>607</v>
      </c>
      <c r="S162" t="s">
        <v>19</v>
      </c>
      <c r="T162" t="str">
        <f>TRIM(S162)</f>
        <v>UPI</v>
      </c>
      <c r="U162">
        <v>200</v>
      </c>
      <c r="V162" t="s">
        <v>20</v>
      </c>
      <c r="W162">
        <v>4</v>
      </c>
    </row>
    <row r="163" spans="1:23" hidden="1" x14ac:dyDescent="0.3">
      <c r="A163" t="s">
        <v>343</v>
      </c>
      <c r="B163" s="2">
        <v>46191</v>
      </c>
      <c r="C163" s="2" t="str">
        <v>Jun</v>
      </c>
      <c r="D163" t="s">
        <v>327</v>
      </c>
      <c r="E163" t="s">
        <v>35</v>
      </c>
      <c r="F163" t="str">
        <f>TRIM(E163)</f>
        <v>Rohan</v>
      </c>
      <c r="G163" t="s">
        <v>117</v>
      </c>
      <c r="H163">
        <v>40</v>
      </c>
      <c r="I163" t="str">
        <f t="shared" si="2"/>
        <v>Ghaziabad</v>
      </c>
      <c r="J163" t="s">
        <v>190</v>
      </c>
      <c r="K163">
        <f ca="1"/>
        <v>54</v>
      </c>
      <c r="N163" t="s">
        <v>55</v>
      </c>
      <c r="O163">
        <v>2</v>
      </c>
      <c r="P163">
        <v>600</v>
      </c>
      <c r="Q163">
        <v>0</v>
      </c>
      <c r="R163">
        <f>O163*P163</f>
        <v>1200</v>
      </c>
      <c r="S163" t="s">
        <v>27</v>
      </c>
      <c r="T163" t="str">
        <f>TRIM(S163)</f>
        <v>Card</v>
      </c>
      <c r="U163">
        <v>135</v>
      </c>
      <c r="V163" t="s">
        <v>20</v>
      </c>
      <c r="W163">
        <v>7</v>
      </c>
    </row>
    <row r="164" spans="1:23" hidden="1" x14ac:dyDescent="0.3">
      <c r="A164" t="s">
        <v>344</v>
      </c>
      <c r="B164" s="2">
        <v>46147</v>
      </c>
      <c r="C164" s="2" t="str">
        <v>May</v>
      </c>
      <c r="D164" t="s">
        <v>345</v>
      </c>
      <c r="E164" t="s">
        <v>61</v>
      </c>
      <c r="F164" t="str">
        <f>TRIM(E164)</f>
        <v>Nikhil</v>
      </c>
      <c r="G164" t="s">
        <v>40</v>
      </c>
      <c r="H164">
        <v>69</v>
      </c>
      <c r="I164" t="str">
        <f t="shared" si="2"/>
        <v>Gurugram</v>
      </c>
      <c r="J164" t="s">
        <v>90</v>
      </c>
      <c r="K164">
        <f ca="1"/>
        <v>41</v>
      </c>
      <c r="N164" t="s">
        <v>18</v>
      </c>
      <c r="O164">
        <v>1</v>
      </c>
      <c r="P164">
        <v>40646</v>
      </c>
      <c r="Q164">
        <v>5</v>
      </c>
      <c r="R164">
        <f>O164*P164</f>
        <v>40646</v>
      </c>
      <c r="S164" t="s">
        <v>91</v>
      </c>
      <c r="T164" t="str">
        <f>TRIM(S164)</f>
        <v>Net Banking</v>
      </c>
      <c r="U164">
        <v>36</v>
      </c>
      <c r="V164" t="s">
        <v>20</v>
      </c>
      <c r="W164">
        <v>5</v>
      </c>
    </row>
    <row r="165" spans="1:23" hidden="1" x14ac:dyDescent="0.3">
      <c r="A165" t="s">
        <v>346</v>
      </c>
      <c r="B165" s="2">
        <v>46030</v>
      </c>
      <c r="C165" s="2" t="str">
        <v>Jan</v>
      </c>
      <c r="D165" t="s">
        <v>302</v>
      </c>
      <c r="E165" t="s">
        <v>231</v>
      </c>
      <c r="F165" t="str">
        <f>TRIM(E165)</f>
        <v>Vivek</v>
      </c>
      <c r="G165" t="s">
        <v>117</v>
      </c>
      <c r="H165">
        <v>40</v>
      </c>
      <c r="I165" t="str">
        <f t="shared" si="2"/>
        <v>Ghaziabad</v>
      </c>
      <c r="J165" t="s">
        <v>17</v>
      </c>
      <c r="K165">
        <f ca="1"/>
        <v>55</v>
      </c>
      <c r="N165" t="s">
        <v>18</v>
      </c>
      <c r="O165">
        <v>1</v>
      </c>
      <c r="P165">
        <v>22716</v>
      </c>
      <c r="Q165">
        <v>15</v>
      </c>
      <c r="R165">
        <f>O165*P165</f>
        <v>22716</v>
      </c>
      <c r="S165" t="s">
        <v>19</v>
      </c>
      <c r="T165" t="str">
        <f>TRIM(S165)</f>
        <v>UPI</v>
      </c>
      <c r="U165">
        <v>200</v>
      </c>
      <c r="V165" t="s">
        <v>20</v>
      </c>
      <c r="W165">
        <v>5</v>
      </c>
    </row>
    <row r="166" spans="1:23" x14ac:dyDescent="0.3">
      <c r="A166" t="s">
        <v>347</v>
      </c>
      <c r="B166" s="2">
        <v>46167</v>
      </c>
      <c r="C166" s="2" t="str">
        <v>May</v>
      </c>
      <c r="D166" t="s">
        <v>348</v>
      </c>
      <c r="E166" t="s">
        <v>35</v>
      </c>
      <c r="F166" t="str">
        <f>TRIM(E166)</f>
        <v>Rohan</v>
      </c>
      <c r="G166" t="s">
        <v>31</v>
      </c>
      <c r="H166">
        <v>64</v>
      </c>
      <c r="I166" t="str">
        <f t="shared" si="2"/>
        <v>Noida</v>
      </c>
      <c r="J166" t="s">
        <v>85</v>
      </c>
      <c r="K166">
        <f ca="1"/>
        <v>30</v>
      </c>
      <c r="N166" t="s">
        <v>45</v>
      </c>
      <c r="O166">
        <v>1</v>
      </c>
      <c r="P166">
        <v>900</v>
      </c>
      <c r="Q166">
        <v>0</v>
      </c>
      <c r="R166">
        <f>O166*P166</f>
        <v>900</v>
      </c>
      <c r="S166" t="s">
        <v>91</v>
      </c>
      <c r="T166" t="str">
        <f>TRIM(S166)</f>
        <v>Net Banking</v>
      </c>
      <c r="U166">
        <v>36</v>
      </c>
      <c r="V166" t="s">
        <v>20</v>
      </c>
      <c r="W166">
        <v>1</v>
      </c>
    </row>
    <row r="167" spans="1:23" x14ac:dyDescent="0.3">
      <c r="A167" t="s">
        <v>349</v>
      </c>
      <c r="B167" s="2">
        <v>46130</v>
      </c>
      <c r="C167" s="2" t="str">
        <v>Apr</v>
      </c>
      <c r="D167" t="s">
        <v>350</v>
      </c>
      <c r="E167" t="s">
        <v>149</v>
      </c>
      <c r="F167" t="str">
        <f>TRIM(E167)</f>
        <v>Rahul</v>
      </c>
      <c r="G167" t="s">
        <v>31</v>
      </c>
      <c r="H167">
        <v>64</v>
      </c>
      <c r="I167" t="str">
        <f t="shared" si="2"/>
        <v>Noida</v>
      </c>
      <c r="J167" t="s">
        <v>141</v>
      </c>
      <c r="K167">
        <f ca="1"/>
        <v>34</v>
      </c>
      <c r="N167" t="s">
        <v>50</v>
      </c>
      <c r="O167">
        <v>1</v>
      </c>
      <c r="P167">
        <v>665</v>
      </c>
      <c r="Q167">
        <v>15</v>
      </c>
      <c r="R167">
        <f>O167*P167</f>
        <v>665</v>
      </c>
      <c r="S167" t="s">
        <v>56</v>
      </c>
      <c r="T167" t="str">
        <f>TRIM(S167)</f>
        <v>COD</v>
      </c>
      <c r="U167">
        <v>129</v>
      </c>
      <c r="V167" t="s">
        <v>20</v>
      </c>
      <c r="W167">
        <v>2</v>
      </c>
    </row>
    <row r="168" spans="1:23" x14ac:dyDescent="0.3">
      <c r="A168" t="s">
        <v>351</v>
      </c>
      <c r="B168" s="2">
        <v>46058</v>
      </c>
      <c r="C168" s="2" t="str">
        <v>Feb</v>
      </c>
      <c r="D168" t="s">
        <v>352</v>
      </c>
      <c r="E168" t="s">
        <v>43</v>
      </c>
      <c r="F168" t="str">
        <f>TRIM(E168)</f>
        <v>Aarav</v>
      </c>
      <c r="G168" t="s">
        <v>31</v>
      </c>
      <c r="H168">
        <v>64</v>
      </c>
      <c r="I168" t="str">
        <f t="shared" si="2"/>
        <v>Noida</v>
      </c>
      <c r="J168" t="s">
        <v>124</v>
      </c>
      <c r="K168">
        <f ca="1"/>
        <v>44</v>
      </c>
      <c r="N168" t="s">
        <v>55</v>
      </c>
      <c r="O168">
        <v>1</v>
      </c>
      <c r="P168">
        <v>1300</v>
      </c>
      <c r="Q168">
        <v>20</v>
      </c>
      <c r="R168">
        <f>O168*P168</f>
        <v>1300</v>
      </c>
      <c r="S168" t="s">
        <v>27</v>
      </c>
      <c r="T168" t="str">
        <f>TRIM(S168)</f>
        <v>Card</v>
      </c>
      <c r="U168">
        <v>135</v>
      </c>
      <c r="V168" t="s">
        <v>20</v>
      </c>
      <c r="W168">
        <v>5</v>
      </c>
    </row>
    <row r="169" spans="1:23" hidden="1" x14ac:dyDescent="0.3">
      <c r="A169" t="s">
        <v>353</v>
      </c>
      <c r="B169" s="2">
        <v>46173</v>
      </c>
      <c r="C169" s="2" t="str">
        <v>May</v>
      </c>
      <c r="D169" t="s">
        <v>290</v>
      </c>
      <c r="E169" t="s">
        <v>80</v>
      </c>
      <c r="F169" t="str">
        <f>TRIM(E169)</f>
        <v>Varun</v>
      </c>
      <c r="G169" t="s">
        <v>24</v>
      </c>
      <c r="H169">
        <v>35</v>
      </c>
      <c r="I169" t="str">
        <f t="shared" si="2"/>
        <v>Chandigarh</v>
      </c>
      <c r="J169" t="s">
        <v>85</v>
      </c>
      <c r="K169">
        <f ca="1"/>
        <v>30</v>
      </c>
      <c r="N169" t="s">
        <v>45</v>
      </c>
      <c r="O169">
        <v>1</v>
      </c>
      <c r="P169">
        <v>1200</v>
      </c>
      <c r="Q169">
        <v>25</v>
      </c>
      <c r="R169">
        <f>O169*P169</f>
        <v>1200</v>
      </c>
      <c r="S169" t="s">
        <v>56</v>
      </c>
      <c r="T169" t="str">
        <f>TRIM(S169)</f>
        <v>COD</v>
      </c>
      <c r="U169">
        <v>129</v>
      </c>
      <c r="V169" t="s">
        <v>20</v>
      </c>
      <c r="W169">
        <v>1</v>
      </c>
    </row>
    <row r="170" spans="1:23" hidden="1" x14ac:dyDescent="0.3">
      <c r="A170" t="s">
        <v>354</v>
      </c>
      <c r="B170" s="2">
        <v>46156</v>
      </c>
      <c r="C170" s="2" t="str">
        <v>May</v>
      </c>
      <c r="D170" t="s">
        <v>355</v>
      </c>
      <c r="E170" t="s">
        <v>43</v>
      </c>
      <c r="F170" t="str">
        <f>TRIM(E170)</f>
        <v>Aarav</v>
      </c>
      <c r="G170" t="s">
        <v>36</v>
      </c>
      <c r="H170">
        <v>73</v>
      </c>
      <c r="I170" t="str">
        <f t="shared" si="2"/>
        <v>Delhi</v>
      </c>
      <c r="J170" t="s">
        <v>156</v>
      </c>
      <c r="K170">
        <f ca="1"/>
        <v>35</v>
      </c>
      <c r="N170" t="s">
        <v>18</v>
      </c>
      <c r="O170">
        <v>1</v>
      </c>
      <c r="P170">
        <v>26302</v>
      </c>
      <c r="Q170">
        <v>0</v>
      </c>
      <c r="R170">
        <f>O170*P170</f>
        <v>26302</v>
      </c>
      <c r="S170" t="s">
        <v>27</v>
      </c>
      <c r="T170" t="str">
        <f>TRIM(S170)</f>
        <v>Card</v>
      </c>
      <c r="U170">
        <v>135</v>
      </c>
      <c r="V170" t="s">
        <v>20</v>
      </c>
      <c r="W170">
        <v>5</v>
      </c>
    </row>
    <row r="171" spans="1:23" hidden="1" x14ac:dyDescent="0.3">
      <c r="A171" t="s">
        <v>356</v>
      </c>
      <c r="B171" s="2">
        <v>46032</v>
      </c>
      <c r="C171" s="2" t="str">
        <v>Jan</v>
      </c>
      <c r="D171" t="s">
        <v>212</v>
      </c>
      <c r="E171" t="s">
        <v>94</v>
      </c>
      <c r="F171" t="str">
        <f>TRIM(E171)</f>
        <v>Karan</v>
      </c>
      <c r="G171" t="s">
        <v>16</v>
      </c>
      <c r="H171">
        <v>49</v>
      </c>
      <c r="I171" t="str">
        <f t="shared" si="2"/>
        <v>Lucknow</v>
      </c>
      <c r="J171" t="s">
        <v>156</v>
      </c>
      <c r="K171">
        <f ca="1"/>
        <v>35</v>
      </c>
      <c r="N171" t="s">
        <v>18</v>
      </c>
      <c r="O171">
        <v>1</v>
      </c>
      <c r="P171">
        <v>6579</v>
      </c>
      <c r="Q171">
        <v>0</v>
      </c>
      <c r="R171">
        <f>O171*P171</f>
        <v>6579</v>
      </c>
      <c r="S171" t="s">
        <v>56</v>
      </c>
      <c r="T171" t="str">
        <f>TRIM(S171)</f>
        <v>COD</v>
      </c>
      <c r="U171">
        <v>129</v>
      </c>
      <c r="V171" t="s">
        <v>20</v>
      </c>
      <c r="W171">
        <v>4</v>
      </c>
    </row>
    <row r="172" spans="1:23" hidden="1" x14ac:dyDescent="0.3">
      <c r="A172" t="s">
        <v>357</v>
      </c>
      <c r="B172" s="2">
        <v>46047</v>
      </c>
      <c r="C172" s="2" t="str">
        <v>Jan</v>
      </c>
      <c r="D172" t="s">
        <v>143</v>
      </c>
      <c r="E172" t="s">
        <v>101</v>
      </c>
      <c r="F172" t="str">
        <f>TRIM(E172)</f>
        <v>Arjun</v>
      </c>
      <c r="G172" t="s">
        <v>81</v>
      </c>
      <c r="H172">
        <v>35</v>
      </c>
      <c r="I172" t="str">
        <f t="shared" si="2"/>
        <v>Faridabad</v>
      </c>
      <c r="J172" t="s">
        <v>17</v>
      </c>
      <c r="K172">
        <f ca="1"/>
        <v>55</v>
      </c>
      <c r="N172" t="s">
        <v>18</v>
      </c>
      <c r="O172">
        <v>1</v>
      </c>
      <c r="P172">
        <v>2993</v>
      </c>
      <c r="Q172">
        <v>5</v>
      </c>
      <c r="R172">
        <f>O172*P172</f>
        <v>2993</v>
      </c>
      <c r="S172" t="s">
        <v>19</v>
      </c>
      <c r="T172" t="str">
        <f>TRIM(S172)</f>
        <v>UPI</v>
      </c>
      <c r="U172">
        <v>200</v>
      </c>
      <c r="V172" t="s">
        <v>20</v>
      </c>
      <c r="W172">
        <v>3</v>
      </c>
    </row>
    <row r="173" spans="1:23" hidden="1" x14ac:dyDescent="0.3">
      <c r="A173" t="s">
        <v>358</v>
      </c>
      <c r="B173" s="2">
        <v>46118</v>
      </c>
      <c r="C173" s="2" t="str">
        <v>Apr</v>
      </c>
      <c r="D173" t="s">
        <v>318</v>
      </c>
      <c r="E173" t="s">
        <v>30</v>
      </c>
      <c r="F173" t="str">
        <f>TRIM(E173)</f>
        <v>Simran</v>
      </c>
      <c r="G173" t="s">
        <v>117</v>
      </c>
      <c r="H173">
        <v>40</v>
      </c>
      <c r="I173" t="str">
        <f t="shared" si="2"/>
        <v>Ghaziabad</v>
      </c>
      <c r="J173" t="s">
        <v>122</v>
      </c>
      <c r="K173">
        <f ca="1"/>
        <v>10</v>
      </c>
      <c r="N173" t="s">
        <v>45</v>
      </c>
      <c r="O173">
        <v>1</v>
      </c>
      <c r="P173">
        <v>1000</v>
      </c>
      <c r="Q173">
        <v>20</v>
      </c>
      <c r="R173">
        <f>O173*P173</f>
        <v>1000</v>
      </c>
      <c r="S173" t="s">
        <v>19</v>
      </c>
      <c r="T173" t="str">
        <f>TRIM(S173)</f>
        <v>UPI</v>
      </c>
      <c r="U173">
        <v>200</v>
      </c>
      <c r="V173" t="s">
        <v>20</v>
      </c>
      <c r="W173">
        <v>1</v>
      </c>
    </row>
    <row r="174" spans="1:23" hidden="1" x14ac:dyDescent="0.3">
      <c r="A174" t="s">
        <v>359</v>
      </c>
      <c r="B174" s="2">
        <v>46027</v>
      </c>
      <c r="C174" s="2" t="str">
        <v>Jan</v>
      </c>
      <c r="D174" t="s">
        <v>360</v>
      </c>
      <c r="E174" t="s">
        <v>116</v>
      </c>
      <c r="F174" t="str">
        <f>TRIM(E174)</f>
        <v>Priya</v>
      </c>
      <c r="G174" t="s">
        <v>16</v>
      </c>
      <c r="H174">
        <v>49</v>
      </c>
      <c r="I174" t="str">
        <f t="shared" si="2"/>
        <v>Lucknow</v>
      </c>
      <c r="J174" t="s">
        <v>124</v>
      </c>
      <c r="K174">
        <f ca="1"/>
        <v>44</v>
      </c>
      <c r="N174" t="s">
        <v>55</v>
      </c>
      <c r="O174">
        <v>4</v>
      </c>
      <c r="P174">
        <v>3400</v>
      </c>
      <c r="Q174">
        <v>0</v>
      </c>
      <c r="R174">
        <f>O174*P174</f>
        <v>13600</v>
      </c>
      <c r="S174" t="s">
        <v>27</v>
      </c>
      <c r="T174" t="str">
        <f>TRIM(S174)</f>
        <v>Card</v>
      </c>
      <c r="U174">
        <v>135</v>
      </c>
      <c r="V174" t="s">
        <v>139</v>
      </c>
      <c r="W174">
        <v>6</v>
      </c>
    </row>
    <row r="175" spans="1:23" hidden="1" x14ac:dyDescent="0.3">
      <c r="A175" t="s">
        <v>361</v>
      </c>
      <c r="B175" s="2">
        <v>46159</v>
      </c>
      <c r="C175" s="2" t="str">
        <v>May</v>
      </c>
      <c r="D175" t="s">
        <v>330</v>
      </c>
      <c r="E175" t="s">
        <v>231</v>
      </c>
      <c r="F175" t="str">
        <f>TRIM(E175)</f>
        <v>Vivek</v>
      </c>
      <c r="G175" t="s">
        <v>36</v>
      </c>
      <c r="H175">
        <v>73</v>
      </c>
      <c r="I175" t="str">
        <f t="shared" si="2"/>
        <v>Delhi</v>
      </c>
      <c r="J175" t="s">
        <v>213</v>
      </c>
      <c r="K175">
        <f ca="1"/>
        <v>14</v>
      </c>
      <c r="N175" t="s">
        <v>18</v>
      </c>
      <c r="O175">
        <v>2</v>
      </c>
      <c r="P175">
        <v>11958</v>
      </c>
      <c r="Q175">
        <v>0</v>
      </c>
      <c r="R175">
        <f>O175*P175</f>
        <v>23916</v>
      </c>
      <c r="S175" t="s">
        <v>27</v>
      </c>
      <c r="T175" t="str">
        <f>TRIM(S175)</f>
        <v>Card</v>
      </c>
      <c r="U175">
        <v>135</v>
      </c>
      <c r="V175" t="s">
        <v>139</v>
      </c>
      <c r="W175">
        <v>4</v>
      </c>
    </row>
    <row r="176" spans="1:23" hidden="1" x14ac:dyDescent="0.3">
      <c r="A176" t="s">
        <v>362</v>
      </c>
      <c r="B176" s="2">
        <v>46074</v>
      </c>
      <c r="C176" s="2" t="str">
        <v>Feb</v>
      </c>
      <c r="D176" t="s">
        <v>207</v>
      </c>
      <c r="E176" t="s">
        <v>53</v>
      </c>
      <c r="F176" t="str">
        <f>TRIM(E176)</f>
        <v>Isha</v>
      </c>
      <c r="G176" t="s">
        <v>117</v>
      </c>
      <c r="H176">
        <v>40</v>
      </c>
      <c r="I176" t="str">
        <f t="shared" si="2"/>
        <v>Ghaziabad</v>
      </c>
      <c r="J176" t="s">
        <v>25</v>
      </c>
      <c r="K176">
        <f ca="1"/>
        <v>20</v>
      </c>
      <c r="N176" t="s">
        <v>26</v>
      </c>
      <c r="O176">
        <v>2</v>
      </c>
      <c r="P176">
        <v>1780</v>
      </c>
      <c r="Q176">
        <v>5</v>
      </c>
      <c r="R176">
        <f>O176*P176</f>
        <v>3560</v>
      </c>
      <c r="S176" t="s">
        <v>27</v>
      </c>
      <c r="T176" t="str">
        <f>TRIM(S176)</f>
        <v>Card</v>
      </c>
      <c r="U176">
        <v>135</v>
      </c>
      <c r="V176" t="s">
        <v>20</v>
      </c>
      <c r="W176">
        <v>4</v>
      </c>
    </row>
    <row r="177" spans="1:23" hidden="1" x14ac:dyDescent="0.3">
      <c r="A177" t="s">
        <v>363</v>
      </c>
      <c r="B177" s="2">
        <v>46114</v>
      </c>
      <c r="C177" s="2" t="str">
        <v>Apr</v>
      </c>
      <c r="D177" t="s">
        <v>153</v>
      </c>
      <c r="E177" t="s">
        <v>80</v>
      </c>
      <c r="F177" t="str">
        <f>TRIM(E177)</f>
        <v>Varun</v>
      </c>
      <c r="G177" t="s">
        <v>40</v>
      </c>
      <c r="H177">
        <v>69</v>
      </c>
      <c r="I177" t="str">
        <f t="shared" si="2"/>
        <v>Gurugram</v>
      </c>
      <c r="J177" t="s">
        <v>17</v>
      </c>
      <c r="K177">
        <f ca="1"/>
        <v>55</v>
      </c>
      <c r="N177" t="s">
        <v>18</v>
      </c>
      <c r="O177">
        <v>3</v>
      </c>
      <c r="P177">
        <v>38853</v>
      </c>
      <c r="Q177">
        <v>5</v>
      </c>
      <c r="R177">
        <f>O177*P177</f>
        <v>116559</v>
      </c>
      <c r="S177" t="s">
        <v>19</v>
      </c>
      <c r="T177" t="str">
        <f>TRIM(S177)</f>
        <v>UPI</v>
      </c>
      <c r="U177">
        <v>200</v>
      </c>
      <c r="V177" t="s">
        <v>20</v>
      </c>
      <c r="W177">
        <v>4</v>
      </c>
    </row>
    <row r="178" spans="1:23" hidden="1" x14ac:dyDescent="0.3">
      <c r="A178" t="s">
        <v>364</v>
      </c>
      <c r="B178" s="2">
        <v>46142</v>
      </c>
      <c r="C178" s="2" t="str">
        <v>Apr</v>
      </c>
      <c r="D178" t="s">
        <v>84</v>
      </c>
      <c r="E178" t="s">
        <v>35</v>
      </c>
      <c r="F178" t="str">
        <f>TRIM(E178)</f>
        <v>Rohan</v>
      </c>
      <c r="G178" t="s">
        <v>40</v>
      </c>
      <c r="H178">
        <v>69</v>
      </c>
      <c r="I178" t="str">
        <f t="shared" si="2"/>
        <v>Gurugram</v>
      </c>
      <c r="J178" t="s">
        <v>17</v>
      </c>
      <c r="K178">
        <f ca="1"/>
        <v>55</v>
      </c>
      <c r="N178" t="s">
        <v>18</v>
      </c>
      <c r="O178">
        <v>1</v>
      </c>
      <c r="P178">
        <v>46025</v>
      </c>
      <c r="Q178">
        <v>25</v>
      </c>
      <c r="R178">
        <f>O178*P178</f>
        <v>46025</v>
      </c>
      <c r="S178" t="s">
        <v>56</v>
      </c>
      <c r="T178" t="str">
        <f>TRIM(S178)</f>
        <v>COD</v>
      </c>
      <c r="U178">
        <v>129</v>
      </c>
      <c r="V178" t="s">
        <v>46</v>
      </c>
      <c r="W178">
        <v>0</v>
      </c>
    </row>
    <row r="179" spans="1:23" hidden="1" x14ac:dyDescent="0.3">
      <c r="A179" t="s">
        <v>365</v>
      </c>
      <c r="B179" s="2">
        <v>46161</v>
      </c>
      <c r="C179" s="2" t="str">
        <v>May</v>
      </c>
      <c r="D179" t="s">
        <v>352</v>
      </c>
      <c r="E179" t="s">
        <v>43</v>
      </c>
      <c r="F179" t="str">
        <f>TRIM(E179)</f>
        <v>Aarav</v>
      </c>
      <c r="G179" t="s">
        <v>40</v>
      </c>
      <c r="H179">
        <v>69</v>
      </c>
      <c r="I179" t="str">
        <f t="shared" si="2"/>
        <v>Gurugram</v>
      </c>
      <c r="J179" t="s">
        <v>113</v>
      </c>
      <c r="K179">
        <f ca="1"/>
        <v>26</v>
      </c>
      <c r="N179" t="s">
        <v>26</v>
      </c>
      <c r="O179">
        <v>1</v>
      </c>
      <c r="P179">
        <v>1525</v>
      </c>
      <c r="Q179">
        <v>20</v>
      </c>
      <c r="R179">
        <f>O179*P179</f>
        <v>1525</v>
      </c>
      <c r="S179" t="s">
        <v>19</v>
      </c>
      <c r="T179" t="str">
        <f>TRIM(S179)</f>
        <v>UPI</v>
      </c>
      <c r="U179">
        <v>200</v>
      </c>
      <c r="V179" t="s">
        <v>20</v>
      </c>
      <c r="W179">
        <v>4</v>
      </c>
    </row>
    <row r="180" spans="1:23" hidden="1" x14ac:dyDescent="0.3">
      <c r="A180" t="s">
        <v>366</v>
      </c>
      <c r="B180" s="2">
        <v>46179</v>
      </c>
      <c r="C180" s="2" t="str">
        <v>Jun</v>
      </c>
      <c r="D180" t="s">
        <v>367</v>
      </c>
      <c r="E180" t="s">
        <v>15</v>
      </c>
      <c r="F180" t="str">
        <f>TRIM(E180)</f>
        <v>Aditya</v>
      </c>
      <c r="G180" t="s">
        <v>40</v>
      </c>
      <c r="H180">
        <v>69</v>
      </c>
      <c r="I180" t="str">
        <f t="shared" si="2"/>
        <v>Gurugram</v>
      </c>
      <c r="J180" t="s">
        <v>113</v>
      </c>
      <c r="K180">
        <f ca="1"/>
        <v>26</v>
      </c>
      <c r="N180" t="s">
        <v>26</v>
      </c>
      <c r="O180">
        <v>3</v>
      </c>
      <c r="P180">
        <v>1066</v>
      </c>
      <c r="Q180">
        <v>15</v>
      </c>
      <c r="R180">
        <f>O180*P180</f>
        <v>3198</v>
      </c>
      <c r="S180" t="s">
        <v>19</v>
      </c>
      <c r="T180" t="str">
        <f>TRIM(S180)</f>
        <v>UPI</v>
      </c>
      <c r="U180">
        <v>200</v>
      </c>
      <c r="V180" t="s">
        <v>20</v>
      </c>
      <c r="W180">
        <v>1</v>
      </c>
    </row>
    <row r="181" spans="1:23" x14ac:dyDescent="0.3">
      <c r="A181" t="s">
        <v>368</v>
      </c>
      <c r="B181" s="2">
        <v>46080</v>
      </c>
      <c r="C181" s="2" t="str">
        <v>Feb</v>
      </c>
      <c r="D181" t="s">
        <v>121</v>
      </c>
      <c r="E181" t="s">
        <v>109</v>
      </c>
      <c r="F181" t="str">
        <f>TRIM(E181)</f>
        <v>Neha</v>
      </c>
      <c r="G181" t="s">
        <v>31</v>
      </c>
      <c r="H181">
        <v>64</v>
      </c>
      <c r="I181" t="str">
        <f t="shared" si="2"/>
        <v>Noida</v>
      </c>
      <c r="J181" t="s">
        <v>88</v>
      </c>
      <c r="K181">
        <f ca="1"/>
        <v>17</v>
      </c>
      <c r="N181" t="s">
        <v>26</v>
      </c>
      <c r="O181">
        <v>1</v>
      </c>
      <c r="P181">
        <v>760</v>
      </c>
      <c r="Q181">
        <v>5</v>
      </c>
      <c r="R181">
        <f>O181*P181</f>
        <v>760</v>
      </c>
      <c r="S181" t="s">
        <v>27</v>
      </c>
      <c r="T181" t="str">
        <f>TRIM(S181)</f>
        <v>Card</v>
      </c>
      <c r="U181">
        <v>135</v>
      </c>
      <c r="V181" t="s">
        <v>20</v>
      </c>
      <c r="W181">
        <v>2</v>
      </c>
    </row>
    <row r="182" spans="1:23" hidden="1" x14ac:dyDescent="0.3">
      <c r="A182" t="s">
        <v>369</v>
      </c>
      <c r="B182" s="2">
        <v>46109</v>
      </c>
      <c r="C182" s="2" t="str">
        <v>Mar</v>
      </c>
      <c r="D182" t="s">
        <v>370</v>
      </c>
      <c r="E182" t="s">
        <v>231</v>
      </c>
      <c r="F182" t="str">
        <f>TRIM(E182)</f>
        <v>Vivek</v>
      </c>
      <c r="G182" t="s">
        <v>40</v>
      </c>
      <c r="H182">
        <v>69</v>
      </c>
      <c r="I182" t="str">
        <f t="shared" si="2"/>
        <v>Gurugram</v>
      </c>
      <c r="J182" t="s">
        <v>32</v>
      </c>
      <c r="K182">
        <f ca="1"/>
        <v>36</v>
      </c>
      <c r="N182" t="s">
        <v>18</v>
      </c>
      <c r="O182">
        <v>1</v>
      </c>
      <c r="P182">
        <v>1200</v>
      </c>
      <c r="Q182">
        <v>0</v>
      </c>
      <c r="R182">
        <f>O182*P182</f>
        <v>1200</v>
      </c>
      <c r="S182" t="s">
        <v>19</v>
      </c>
      <c r="T182" t="str">
        <f>TRIM(S182)</f>
        <v>UPI</v>
      </c>
      <c r="U182">
        <v>200</v>
      </c>
      <c r="V182" t="s">
        <v>20</v>
      </c>
      <c r="W182">
        <v>5</v>
      </c>
    </row>
    <row r="183" spans="1:23" hidden="1" x14ac:dyDescent="0.3">
      <c r="A183" t="s">
        <v>371</v>
      </c>
      <c r="B183" s="2">
        <v>46039</v>
      </c>
      <c r="C183" s="2" t="str">
        <v>Jan</v>
      </c>
      <c r="D183" t="s">
        <v>372</v>
      </c>
      <c r="E183" t="s">
        <v>101</v>
      </c>
      <c r="F183" t="str">
        <f>TRIM(E183)</f>
        <v>Arjun</v>
      </c>
      <c r="G183" t="s">
        <v>24</v>
      </c>
      <c r="H183">
        <v>35</v>
      </c>
      <c r="I183" t="str">
        <f t="shared" si="2"/>
        <v>Chandigarh</v>
      </c>
      <c r="J183" t="s">
        <v>25</v>
      </c>
      <c r="K183">
        <f ca="1"/>
        <v>20</v>
      </c>
      <c r="N183" t="s">
        <v>26</v>
      </c>
      <c r="O183">
        <v>1</v>
      </c>
      <c r="P183">
        <v>1780</v>
      </c>
      <c r="Q183">
        <v>5</v>
      </c>
      <c r="R183">
        <f>O183*P183</f>
        <v>1780</v>
      </c>
      <c r="S183" t="s">
        <v>56</v>
      </c>
      <c r="T183" t="str">
        <f>TRIM(S183)</f>
        <v>COD</v>
      </c>
      <c r="U183">
        <v>129</v>
      </c>
      <c r="V183" t="s">
        <v>20</v>
      </c>
      <c r="W183">
        <v>3</v>
      </c>
    </row>
    <row r="184" spans="1:23" hidden="1" x14ac:dyDescent="0.3">
      <c r="A184" t="s">
        <v>373</v>
      </c>
      <c r="B184" s="2">
        <v>46073</v>
      </c>
      <c r="C184" s="2" t="str">
        <v>Feb</v>
      </c>
      <c r="D184" t="s">
        <v>374</v>
      </c>
      <c r="E184" t="s">
        <v>109</v>
      </c>
      <c r="F184" t="str">
        <f>TRIM(E184)</f>
        <v>Neha</v>
      </c>
      <c r="G184" t="s">
        <v>36</v>
      </c>
      <c r="H184">
        <v>73</v>
      </c>
      <c r="I184" t="str">
        <f t="shared" si="2"/>
        <v>Delhi</v>
      </c>
      <c r="J184" t="s">
        <v>90</v>
      </c>
      <c r="K184">
        <f ca="1"/>
        <v>41</v>
      </c>
      <c r="N184" t="s">
        <v>18</v>
      </c>
      <c r="O184">
        <v>1</v>
      </c>
      <c r="P184">
        <v>10165</v>
      </c>
      <c r="Q184">
        <v>10</v>
      </c>
      <c r="R184">
        <f>O184*P184</f>
        <v>10165</v>
      </c>
      <c r="S184" t="s">
        <v>56</v>
      </c>
      <c r="T184" t="str">
        <f>TRIM(S184)</f>
        <v>COD</v>
      </c>
      <c r="U184">
        <v>129</v>
      </c>
      <c r="V184" t="s">
        <v>20</v>
      </c>
      <c r="W184">
        <v>2</v>
      </c>
    </row>
    <row r="185" spans="1:23" hidden="1" x14ac:dyDescent="0.3">
      <c r="A185" t="s">
        <v>375</v>
      </c>
      <c r="B185" s="2">
        <v>46191</v>
      </c>
      <c r="C185" s="2" t="str">
        <v>Jun</v>
      </c>
      <c r="D185" t="s">
        <v>376</v>
      </c>
      <c r="E185" t="s">
        <v>43</v>
      </c>
      <c r="F185" t="str">
        <f>TRIM(E185)</f>
        <v>Aarav</v>
      </c>
      <c r="G185" t="s">
        <v>24</v>
      </c>
      <c r="H185">
        <v>35</v>
      </c>
      <c r="I185" t="str">
        <f t="shared" si="2"/>
        <v>Chandigarh</v>
      </c>
      <c r="J185" t="s">
        <v>124</v>
      </c>
      <c r="K185">
        <f ca="1"/>
        <v>44</v>
      </c>
      <c r="N185" t="s">
        <v>55</v>
      </c>
      <c r="O185">
        <v>2</v>
      </c>
      <c r="P185">
        <v>1400</v>
      </c>
      <c r="Q185">
        <v>5</v>
      </c>
      <c r="R185">
        <f>O185*P185</f>
        <v>2800</v>
      </c>
      <c r="S185" t="s">
        <v>91</v>
      </c>
      <c r="T185" t="str">
        <f>TRIM(S185)</f>
        <v>Net Banking</v>
      </c>
      <c r="U185">
        <v>36</v>
      </c>
      <c r="V185" t="s">
        <v>20</v>
      </c>
      <c r="W185">
        <v>3</v>
      </c>
    </row>
    <row r="186" spans="1:23" hidden="1" x14ac:dyDescent="0.3">
      <c r="A186" t="s">
        <v>377</v>
      </c>
      <c r="B186" s="2">
        <v>46117</v>
      </c>
      <c r="C186" s="2" t="str">
        <v>Apr</v>
      </c>
      <c r="D186" t="s">
        <v>316</v>
      </c>
      <c r="E186" t="s">
        <v>94</v>
      </c>
      <c r="F186" t="str">
        <f>TRIM(E186)</f>
        <v>Karan</v>
      </c>
      <c r="G186" t="s">
        <v>40</v>
      </c>
      <c r="H186">
        <v>69</v>
      </c>
      <c r="I186" t="str">
        <f t="shared" si="2"/>
        <v>Gurugram</v>
      </c>
      <c r="J186" t="s">
        <v>82</v>
      </c>
      <c r="K186">
        <f ca="1"/>
        <v>33</v>
      </c>
      <c r="N186" t="s">
        <v>50</v>
      </c>
      <c r="O186">
        <v>1</v>
      </c>
      <c r="P186">
        <v>1030</v>
      </c>
      <c r="Q186">
        <v>0</v>
      </c>
      <c r="R186">
        <f>O186*P186</f>
        <v>1030</v>
      </c>
      <c r="S186" t="s">
        <v>27</v>
      </c>
      <c r="T186" t="str">
        <f>TRIM(S186)</f>
        <v>Card</v>
      </c>
      <c r="U186">
        <v>135</v>
      </c>
      <c r="V186" t="s">
        <v>20</v>
      </c>
      <c r="W186">
        <v>5</v>
      </c>
    </row>
    <row r="187" spans="1:23" x14ac:dyDescent="0.3">
      <c r="A187" t="s">
        <v>378</v>
      </c>
      <c r="B187" s="2">
        <v>46044</v>
      </c>
      <c r="C187" s="2" t="str">
        <v>Jan</v>
      </c>
      <c r="D187" t="s">
        <v>292</v>
      </c>
      <c r="E187" t="s">
        <v>98</v>
      </c>
      <c r="F187" t="str">
        <f>TRIM(E187)</f>
        <v>Meera</v>
      </c>
      <c r="G187" t="s">
        <v>31</v>
      </c>
      <c r="H187">
        <v>64</v>
      </c>
      <c r="I187" t="str">
        <f t="shared" si="2"/>
        <v>Noida</v>
      </c>
      <c r="J187" t="s">
        <v>122</v>
      </c>
      <c r="K187">
        <f ca="1"/>
        <v>10</v>
      </c>
      <c r="N187" t="s">
        <v>45</v>
      </c>
      <c r="O187">
        <v>3</v>
      </c>
      <c r="P187">
        <v>1050</v>
      </c>
      <c r="Q187">
        <v>10</v>
      </c>
      <c r="R187">
        <f>O187*P187</f>
        <v>3150</v>
      </c>
      <c r="S187" t="s">
        <v>19</v>
      </c>
      <c r="T187" t="str">
        <f>TRIM(S187)</f>
        <v>UPI</v>
      </c>
      <c r="U187">
        <v>200</v>
      </c>
      <c r="V187" t="s">
        <v>20</v>
      </c>
      <c r="W187">
        <v>1</v>
      </c>
    </row>
    <row r="188" spans="1:23" hidden="1" x14ac:dyDescent="0.3">
      <c r="A188" t="s">
        <v>379</v>
      </c>
      <c r="B188" s="2">
        <v>46061</v>
      </c>
      <c r="C188" s="2" t="str">
        <v>Feb</v>
      </c>
      <c r="D188" t="s">
        <v>64</v>
      </c>
      <c r="E188" t="s">
        <v>39</v>
      </c>
      <c r="F188" t="str">
        <f>TRIM(E188)</f>
        <v>Aman</v>
      </c>
      <c r="G188" t="s">
        <v>16</v>
      </c>
      <c r="H188">
        <v>49</v>
      </c>
      <c r="I188" t="str">
        <f t="shared" si="2"/>
        <v>Lucknow</v>
      </c>
      <c r="J188" t="s">
        <v>44</v>
      </c>
      <c r="K188">
        <f ca="1"/>
        <v>29</v>
      </c>
      <c r="N188" t="s">
        <v>45</v>
      </c>
      <c r="O188">
        <v>2</v>
      </c>
      <c r="P188">
        <v>1150</v>
      </c>
      <c r="Q188">
        <v>10</v>
      </c>
      <c r="R188">
        <f>O188*P188</f>
        <v>2300</v>
      </c>
      <c r="S188" t="s">
        <v>56</v>
      </c>
      <c r="T188" t="str">
        <f>TRIM(S188)</f>
        <v>COD</v>
      </c>
      <c r="U188">
        <v>129</v>
      </c>
      <c r="V188" t="s">
        <v>20</v>
      </c>
      <c r="W188">
        <v>2</v>
      </c>
    </row>
    <row r="189" spans="1:23" hidden="1" x14ac:dyDescent="0.3">
      <c r="A189" t="s">
        <v>380</v>
      </c>
      <c r="B189" s="2">
        <v>46172</v>
      </c>
      <c r="C189" s="2" t="str">
        <v>May</v>
      </c>
      <c r="D189" t="s">
        <v>381</v>
      </c>
      <c r="E189" t="s">
        <v>53</v>
      </c>
      <c r="F189" t="str">
        <f>TRIM(E189)</f>
        <v>Isha</v>
      </c>
      <c r="G189" t="s">
        <v>24</v>
      </c>
      <c r="H189">
        <v>35</v>
      </c>
      <c r="I189" t="str">
        <f t="shared" si="2"/>
        <v>Chandigarh</v>
      </c>
      <c r="J189" t="s">
        <v>95</v>
      </c>
      <c r="K189">
        <f ca="1"/>
        <v>28</v>
      </c>
      <c r="N189" t="s">
        <v>45</v>
      </c>
      <c r="O189">
        <v>1</v>
      </c>
      <c r="P189">
        <v>750</v>
      </c>
      <c r="Q189">
        <v>0</v>
      </c>
      <c r="R189">
        <f>O189*P189</f>
        <v>750</v>
      </c>
      <c r="S189" t="s">
        <v>56</v>
      </c>
      <c r="T189" t="str">
        <f>TRIM(S189)</f>
        <v>COD</v>
      </c>
      <c r="U189">
        <v>129</v>
      </c>
      <c r="V189" t="s">
        <v>20</v>
      </c>
      <c r="W189">
        <v>3</v>
      </c>
    </row>
    <row r="190" spans="1:23" hidden="1" x14ac:dyDescent="0.3">
      <c r="A190" t="s">
        <v>382</v>
      </c>
      <c r="B190" s="2">
        <v>46173</v>
      </c>
      <c r="C190" s="2" t="str">
        <v>May</v>
      </c>
      <c r="D190" t="s">
        <v>189</v>
      </c>
      <c r="E190" t="s">
        <v>30</v>
      </c>
      <c r="F190" t="str">
        <f>TRIM(E190)</f>
        <v>Simran</v>
      </c>
      <c r="G190" t="s">
        <v>16</v>
      </c>
      <c r="H190">
        <v>49</v>
      </c>
      <c r="I190" t="str">
        <f t="shared" si="2"/>
        <v>Lucknow</v>
      </c>
      <c r="J190" t="s">
        <v>383</v>
      </c>
      <c r="K190">
        <f ca="1"/>
        <v>18</v>
      </c>
      <c r="N190" t="s">
        <v>26</v>
      </c>
      <c r="O190">
        <v>1</v>
      </c>
      <c r="P190">
        <v>454</v>
      </c>
      <c r="Q190">
        <v>10</v>
      </c>
      <c r="R190">
        <f>O190*P190</f>
        <v>454</v>
      </c>
      <c r="S190" t="s">
        <v>19</v>
      </c>
      <c r="T190" t="str">
        <f>TRIM(S190)</f>
        <v>UPI</v>
      </c>
      <c r="U190">
        <v>200</v>
      </c>
      <c r="V190" t="s">
        <v>20</v>
      </c>
      <c r="W190">
        <v>3</v>
      </c>
    </row>
    <row r="191" spans="1:23" hidden="1" x14ac:dyDescent="0.3">
      <c r="A191" t="s">
        <v>384</v>
      </c>
      <c r="B191" s="2">
        <v>46047</v>
      </c>
      <c r="C191" s="2" t="str">
        <v>Jan</v>
      </c>
      <c r="D191" t="s">
        <v>348</v>
      </c>
      <c r="E191" t="s">
        <v>35</v>
      </c>
      <c r="F191" t="str">
        <f>TRIM(E191)</f>
        <v>Rohan</v>
      </c>
      <c r="G191" t="s">
        <v>16</v>
      </c>
      <c r="H191">
        <v>49</v>
      </c>
      <c r="I191" t="str">
        <f t="shared" si="2"/>
        <v>Lucknow</v>
      </c>
      <c r="J191" t="s">
        <v>90</v>
      </c>
      <c r="K191">
        <f ca="1"/>
        <v>41</v>
      </c>
      <c r="N191" t="s">
        <v>18</v>
      </c>
      <c r="O191">
        <v>1</v>
      </c>
      <c r="P191">
        <v>46025</v>
      </c>
      <c r="Q191">
        <v>5</v>
      </c>
      <c r="R191">
        <f>O191*P191</f>
        <v>46025</v>
      </c>
      <c r="S191" t="s">
        <v>56</v>
      </c>
      <c r="T191" t="str">
        <f>TRIM(S191)</f>
        <v>COD</v>
      </c>
      <c r="U191">
        <v>129</v>
      </c>
      <c r="V191" t="s">
        <v>139</v>
      </c>
      <c r="W191">
        <v>4</v>
      </c>
    </row>
    <row r="192" spans="1:23" hidden="1" x14ac:dyDescent="0.3">
      <c r="A192" t="s">
        <v>385</v>
      </c>
      <c r="B192" s="2">
        <v>46086</v>
      </c>
      <c r="C192" s="2" t="str">
        <v>Mar</v>
      </c>
      <c r="D192" t="s">
        <v>64</v>
      </c>
      <c r="E192" t="s">
        <v>39</v>
      </c>
      <c r="F192" t="str">
        <f>TRIM(E192)</f>
        <v>Aman</v>
      </c>
      <c r="G192" t="s">
        <v>16</v>
      </c>
      <c r="H192">
        <v>49</v>
      </c>
      <c r="I192" t="str">
        <f t="shared" si="2"/>
        <v>Lucknow</v>
      </c>
      <c r="J192" t="s">
        <v>90</v>
      </c>
      <c r="K192">
        <f ca="1"/>
        <v>41</v>
      </c>
      <c r="N192" t="s">
        <v>18</v>
      </c>
      <c r="O192">
        <v>2</v>
      </c>
      <c r="P192">
        <v>37060</v>
      </c>
      <c r="Q192">
        <v>10</v>
      </c>
      <c r="R192">
        <f>O192*P192</f>
        <v>74120</v>
      </c>
      <c r="S192" t="s">
        <v>19</v>
      </c>
      <c r="T192" t="str">
        <f>TRIM(S192)</f>
        <v>UPI</v>
      </c>
      <c r="U192">
        <v>200</v>
      </c>
      <c r="V192" t="s">
        <v>20</v>
      </c>
      <c r="W192">
        <v>4</v>
      </c>
    </row>
    <row r="193" spans="1:23" hidden="1" x14ac:dyDescent="0.3">
      <c r="A193" t="s">
        <v>386</v>
      </c>
      <c r="B193" s="2">
        <v>46112</v>
      </c>
      <c r="C193" s="2" t="str">
        <v>Mar</v>
      </c>
      <c r="D193" t="s">
        <v>305</v>
      </c>
      <c r="E193" t="s">
        <v>15</v>
      </c>
      <c r="F193" t="str">
        <f>TRIM(E193)</f>
        <v>Aditya</v>
      </c>
      <c r="G193" t="s">
        <v>16</v>
      </c>
      <c r="H193">
        <v>49</v>
      </c>
      <c r="I193" t="str">
        <f t="shared" si="2"/>
        <v>Lucknow</v>
      </c>
      <c r="J193" t="s">
        <v>68</v>
      </c>
      <c r="K193">
        <f ca="1"/>
        <v>23</v>
      </c>
      <c r="N193" t="s">
        <v>26</v>
      </c>
      <c r="O193">
        <v>2</v>
      </c>
      <c r="P193">
        <v>301</v>
      </c>
      <c r="Q193">
        <v>10</v>
      </c>
      <c r="R193">
        <f>O193*P193</f>
        <v>602</v>
      </c>
      <c r="S193" t="s">
        <v>56</v>
      </c>
      <c r="T193" t="str">
        <f>TRIM(S193)</f>
        <v>COD</v>
      </c>
      <c r="U193">
        <v>129</v>
      </c>
      <c r="V193" t="s">
        <v>20</v>
      </c>
      <c r="W193">
        <v>4</v>
      </c>
    </row>
    <row r="194" spans="1:23" hidden="1" x14ac:dyDescent="0.3">
      <c r="A194" t="s">
        <v>387</v>
      </c>
      <c r="B194" s="2">
        <v>46078</v>
      </c>
      <c r="C194" s="2" t="str">
        <v>Feb</v>
      </c>
      <c r="D194" t="s">
        <v>179</v>
      </c>
      <c r="E194" t="s">
        <v>23</v>
      </c>
      <c r="F194" t="str">
        <f>TRIM(E194)</f>
        <v>Pooja</v>
      </c>
      <c r="G194" t="s">
        <v>40</v>
      </c>
      <c r="H194">
        <v>69</v>
      </c>
      <c r="I194" t="str">
        <f t="shared" si="2"/>
        <v>Gurugram</v>
      </c>
      <c r="J194" t="s">
        <v>17</v>
      </c>
      <c r="K194">
        <f ca="1"/>
        <v>55</v>
      </c>
      <c r="N194" t="s">
        <v>18</v>
      </c>
      <c r="O194">
        <v>2</v>
      </c>
      <c r="P194">
        <v>6579</v>
      </c>
      <c r="Q194">
        <v>20</v>
      </c>
      <c r="R194">
        <f>O194*P194</f>
        <v>13158</v>
      </c>
      <c r="S194" t="s">
        <v>27</v>
      </c>
      <c r="T194" t="str">
        <f>TRIM(S194)</f>
        <v>Card</v>
      </c>
      <c r="U194">
        <v>135</v>
      </c>
      <c r="V194" t="s">
        <v>20</v>
      </c>
      <c r="W194">
        <v>6</v>
      </c>
    </row>
    <row r="195" spans="1:23" hidden="1" x14ac:dyDescent="0.3">
      <c r="A195" t="s">
        <v>388</v>
      </c>
      <c r="B195" s="2">
        <v>46060</v>
      </c>
      <c r="C195" s="2" t="str">
        <v>Feb</v>
      </c>
      <c r="D195" t="s">
        <v>389</v>
      </c>
      <c r="E195" t="s">
        <v>43</v>
      </c>
      <c r="F195" t="str">
        <f>TRIM(E195)</f>
        <v>Aarav</v>
      </c>
      <c r="G195" t="s">
        <v>36</v>
      </c>
      <c r="H195">
        <v>73</v>
      </c>
      <c r="I195" t="str">
        <f t="shared" ref="I195:I258" si="3">TRIM(G195)</f>
        <v>Delhi</v>
      </c>
      <c r="J195" t="s">
        <v>17</v>
      </c>
      <c r="K195">
        <f ca="1"/>
        <v>55</v>
      </c>
      <c r="N195" t="s">
        <v>18</v>
      </c>
      <c r="O195">
        <v>1</v>
      </c>
      <c r="P195">
        <v>35267</v>
      </c>
      <c r="Q195">
        <v>20</v>
      </c>
      <c r="R195">
        <f>O195*P195</f>
        <v>35267</v>
      </c>
      <c r="S195" t="s">
        <v>27</v>
      </c>
      <c r="T195" t="str">
        <f>TRIM(S195)</f>
        <v>Card</v>
      </c>
      <c r="U195">
        <v>135</v>
      </c>
      <c r="V195" t="s">
        <v>20</v>
      </c>
      <c r="W195">
        <v>3</v>
      </c>
    </row>
    <row r="196" spans="1:23" hidden="1" x14ac:dyDescent="0.3">
      <c r="A196" t="s">
        <v>390</v>
      </c>
      <c r="B196" s="2">
        <v>46077</v>
      </c>
      <c r="C196" s="2" t="str">
        <v>Feb</v>
      </c>
      <c r="D196" t="s">
        <v>264</v>
      </c>
      <c r="E196" t="s">
        <v>71</v>
      </c>
      <c r="F196" t="str">
        <f>TRIM(E196)</f>
        <v>Riya</v>
      </c>
      <c r="G196" t="s">
        <v>81</v>
      </c>
      <c r="H196">
        <v>35</v>
      </c>
      <c r="I196" t="str">
        <f t="shared" si="3"/>
        <v>Faridabad</v>
      </c>
      <c r="J196" t="s">
        <v>90</v>
      </c>
      <c r="K196">
        <f ca="1"/>
        <v>41</v>
      </c>
      <c r="N196" t="s">
        <v>18</v>
      </c>
      <c r="O196">
        <v>2</v>
      </c>
      <c r="P196">
        <v>53197</v>
      </c>
      <c r="Q196">
        <v>5</v>
      </c>
      <c r="R196">
        <f>O196*P196</f>
        <v>106394</v>
      </c>
      <c r="S196" t="s">
        <v>56</v>
      </c>
      <c r="T196" t="str">
        <f>TRIM(S196)</f>
        <v>COD</v>
      </c>
      <c r="U196">
        <v>129</v>
      </c>
      <c r="V196" t="s">
        <v>20</v>
      </c>
      <c r="W196">
        <v>5</v>
      </c>
    </row>
    <row r="197" spans="1:23" hidden="1" x14ac:dyDescent="0.3">
      <c r="A197" t="s">
        <v>391</v>
      </c>
      <c r="B197" s="2">
        <v>46181</v>
      </c>
      <c r="C197" s="2" t="str">
        <v>Jun</v>
      </c>
      <c r="D197" t="s">
        <v>74</v>
      </c>
      <c r="E197" t="s">
        <v>75</v>
      </c>
      <c r="F197" t="str">
        <f>TRIM(E197)</f>
        <v>Sneha</v>
      </c>
      <c r="G197" t="s">
        <v>16</v>
      </c>
      <c r="H197">
        <v>49</v>
      </c>
      <c r="I197" t="str">
        <f t="shared" si="3"/>
        <v>Lucknow</v>
      </c>
      <c r="J197" t="s">
        <v>135</v>
      </c>
      <c r="K197">
        <f ca="1"/>
        <v>28</v>
      </c>
      <c r="N197" t="s">
        <v>50</v>
      </c>
      <c r="O197">
        <v>1</v>
      </c>
      <c r="P197">
        <v>519</v>
      </c>
      <c r="Q197">
        <v>15</v>
      </c>
      <c r="R197">
        <f>O197*P197</f>
        <v>519</v>
      </c>
      <c r="S197" t="s">
        <v>19</v>
      </c>
      <c r="T197" t="str">
        <f>TRIM(S197)</f>
        <v>UPI</v>
      </c>
      <c r="U197">
        <v>200</v>
      </c>
      <c r="V197" t="s">
        <v>20</v>
      </c>
      <c r="W197">
        <v>3</v>
      </c>
    </row>
    <row r="198" spans="1:23" hidden="1" x14ac:dyDescent="0.3">
      <c r="A198" t="s">
        <v>392</v>
      </c>
      <c r="B198" s="2">
        <v>46069</v>
      </c>
      <c r="C198" s="2" t="str">
        <v>Feb</v>
      </c>
      <c r="D198" t="s">
        <v>67</v>
      </c>
      <c r="E198" t="s">
        <v>53</v>
      </c>
      <c r="F198" t="str">
        <f>TRIM(E198)</f>
        <v>Isha</v>
      </c>
      <c r="G198" t="s">
        <v>24</v>
      </c>
      <c r="H198">
        <v>35</v>
      </c>
      <c r="I198" t="str">
        <f t="shared" si="3"/>
        <v>Chandigarh</v>
      </c>
      <c r="J198" t="s">
        <v>95</v>
      </c>
      <c r="K198">
        <f ca="1"/>
        <v>28</v>
      </c>
      <c r="N198" t="s">
        <v>45</v>
      </c>
      <c r="O198">
        <v>1</v>
      </c>
      <c r="P198">
        <v>150</v>
      </c>
      <c r="Q198">
        <v>10</v>
      </c>
      <c r="R198">
        <f>O198*P198</f>
        <v>150</v>
      </c>
      <c r="S198" t="s">
        <v>56</v>
      </c>
      <c r="T198" t="str">
        <f>TRIM(S198)</f>
        <v>COD</v>
      </c>
      <c r="U198">
        <v>129</v>
      </c>
      <c r="V198" t="s">
        <v>20</v>
      </c>
      <c r="W198">
        <v>3</v>
      </c>
    </row>
    <row r="199" spans="1:23" hidden="1" x14ac:dyDescent="0.3">
      <c r="A199" t="s">
        <v>393</v>
      </c>
      <c r="B199" s="2">
        <v>46125</v>
      </c>
      <c r="C199" s="2" t="str">
        <v>Apr</v>
      </c>
      <c r="D199" t="s">
        <v>165</v>
      </c>
      <c r="E199" t="s">
        <v>80</v>
      </c>
      <c r="F199" t="str">
        <f>TRIM(E199)</f>
        <v>Varun</v>
      </c>
      <c r="G199" t="s">
        <v>117</v>
      </c>
      <c r="H199">
        <v>40</v>
      </c>
      <c r="I199" t="str">
        <f t="shared" si="3"/>
        <v>Ghaziabad</v>
      </c>
      <c r="J199" t="s">
        <v>49</v>
      </c>
      <c r="K199">
        <f ca="1"/>
        <v>29</v>
      </c>
      <c r="N199" t="s">
        <v>50</v>
      </c>
      <c r="O199">
        <v>1</v>
      </c>
      <c r="P199">
        <v>1687</v>
      </c>
      <c r="Q199">
        <v>5</v>
      </c>
      <c r="R199">
        <f>O199*P199</f>
        <v>1687</v>
      </c>
      <c r="S199" t="s">
        <v>19</v>
      </c>
      <c r="T199" t="str">
        <f>TRIM(S199)</f>
        <v>UPI</v>
      </c>
      <c r="U199">
        <v>200</v>
      </c>
      <c r="V199" t="s">
        <v>20</v>
      </c>
      <c r="W199">
        <v>3</v>
      </c>
    </row>
    <row r="200" spans="1:23" hidden="1" x14ac:dyDescent="0.3">
      <c r="A200" t="s">
        <v>394</v>
      </c>
      <c r="B200" s="2">
        <v>46103</v>
      </c>
      <c r="C200" s="2" t="str">
        <v>Mar</v>
      </c>
      <c r="D200" t="s">
        <v>395</v>
      </c>
      <c r="E200" t="s">
        <v>109</v>
      </c>
      <c r="F200" t="str">
        <f>TRIM(E200)</f>
        <v>Neha</v>
      </c>
      <c r="G200" t="s">
        <v>65</v>
      </c>
      <c r="H200">
        <v>36</v>
      </c>
      <c r="I200" t="str">
        <f t="shared" si="3"/>
        <v>Jaipur</v>
      </c>
      <c r="J200" t="s">
        <v>383</v>
      </c>
      <c r="K200">
        <f ca="1"/>
        <v>18</v>
      </c>
      <c r="N200" t="s">
        <v>26</v>
      </c>
      <c r="O200">
        <v>2</v>
      </c>
      <c r="P200">
        <v>709</v>
      </c>
      <c r="Q200">
        <v>5</v>
      </c>
      <c r="R200">
        <f>O200*P200</f>
        <v>1418</v>
      </c>
      <c r="S200" t="s">
        <v>19</v>
      </c>
      <c r="T200" t="str">
        <f>TRIM(S200)</f>
        <v>UPI</v>
      </c>
      <c r="U200">
        <v>200</v>
      </c>
      <c r="V200" t="s">
        <v>20</v>
      </c>
      <c r="W200">
        <v>1</v>
      </c>
    </row>
    <row r="201" spans="1:23" hidden="1" x14ac:dyDescent="0.3">
      <c r="A201" t="s">
        <v>396</v>
      </c>
      <c r="B201" s="2">
        <v>46122</v>
      </c>
      <c r="C201" s="2" t="str">
        <v>Apr</v>
      </c>
      <c r="D201" t="s">
        <v>215</v>
      </c>
      <c r="E201" t="s">
        <v>43</v>
      </c>
      <c r="F201" t="str">
        <f>TRIM(E201)</f>
        <v>Aarav</v>
      </c>
      <c r="G201" t="s">
        <v>36</v>
      </c>
      <c r="H201">
        <v>73</v>
      </c>
      <c r="I201" t="str">
        <f t="shared" si="3"/>
        <v>Delhi</v>
      </c>
      <c r="J201" t="s">
        <v>90</v>
      </c>
      <c r="K201">
        <f ca="1"/>
        <v>41</v>
      </c>
      <c r="N201" t="s">
        <v>18</v>
      </c>
      <c r="O201">
        <v>1</v>
      </c>
      <c r="P201">
        <v>4786</v>
      </c>
      <c r="Q201">
        <v>15</v>
      </c>
      <c r="R201">
        <f>O201*P201</f>
        <v>4786</v>
      </c>
      <c r="S201" t="s">
        <v>56</v>
      </c>
      <c r="T201" t="str">
        <f>TRIM(S201)</f>
        <v>COD</v>
      </c>
      <c r="U201">
        <v>129</v>
      </c>
      <c r="V201" t="s">
        <v>20</v>
      </c>
      <c r="W201">
        <v>2</v>
      </c>
    </row>
    <row r="202" spans="1:23" hidden="1" x14ac:dyDescent="0.3">
      <c r="A202" t="s">
        <v>397</v>
      </c>
      <c r="B202" s="2">
        <v>46130</v>
      </c>
      <c r="C202" s="2" t="str">
        <v>Apr</v>
      </c>
      <c r="D202" t="s">
        <v>252</v>
      </c>
      <c r="E202" t="s">
        <v>94</v>
      </c>
      <c r="F202" t="str">
        <f>TRIM(E202)</f>
        <v>Karan</v>
      </c>
      <c r="G202" t="s">
        <v>36</v>
      </c>
      <c r="H202">
        <v>73</v>
      </c>
      <c r="I202" t="str">
        <f t="shared" si="3"/>
        <v>Delhi</v>
      </c>
      <c r="J202" t="s">
        <v>68</v>
      </c>
      <c r="K202">
        <f ca="1"/>
        <v>23</v>
      </c>
      <c r="N202" t="s">
        <v>26</v>
      </c>
      <c r="O202">
        <v>1</v>
      </c>
      <c r="P202">
        <v>403</v>
      </c>
      <c r="Q202">
        <v>5</v>
      </c>
      <c r="R202">
        <f>O202*P202</f>
        <v>403</v>
      </c>
      <c r="S202" t="s">
        <v>19</v>
      </c>
      <c r="T202" t="str">
        <f>TRIM(S202)</f>
        <v>UPI</v>
      </c>
      <c r="U202">
        <v>200</v>
      </c>
      <c r="V202" t="s">
        <v>20</v>
      </c>
      <c r="W202">
        <v>1</v>
      </c>
    </row>
    <row r="203" spans="1:23" hidden="1" x14ac:dyDescent="0.3">
      <c r="A203" t="s">
        <v>398</v>
      </c>
      <c r="B203" s="2">
        <v>46142</v>
      </c>
      <c r="C203" s="2" t="str">
        <v>Apr</v>
      </c>
      <c r="D203" t="s">
        <v>34</v>
      </c>
      <c r="E203" t="s">
        <v>35</v>
      </c>
      <c r="F203" t="str">
        <f>TRIM(E203)</f>
        <v>Rohan</v>
      </c>
      <c r="G203" t="s">
        <v>24</v>
      </c>
      <c r="H203">
        <v>35</v>
      </c>
      <c r="I203" t="str">
        <f t="shared" si="3"/>
        <v>Chandigarh</v>
      </c>
      <c r="J203" t="s">
        <v>124</v>
      </c>
      <c r="K203">
        <f ca="1"/>
        <v>44</v>
      </c>
      <c r="N203" t="s">
        <v>55</v>
      </c>
      <c r="O203">
        <v>2</v>
      </c>
      <c r="P203">
        <v>2900</v>
      </c>
      <c r="Q203">
        <v>0</v>
      </c>
      <c r="R203">
        <f>O203*P203</f>
        <v>5800</v>
      </c>
      <c r="S203" t="s">
        <v>27</v>
      </c>
      <c r="T203" t="str">
        <f>TRIM(S203)</f>
        <v>Card</v>
      </c>
      <c r="U203">
        <v>135</v>
      </c>
      <c r="V203" t="s">
        <v>20</v>
      </c>
      <c r="W203">
        <v>3</v>
      </c>
    </row>
    <row r="204" spans="1:23" hidden="1" x14ac:dyDescent="0.3">
      <c r="A204" t="s">
        <v>399</v>
      </c>
      <c r="B204" s="2">
        <v>46104</v>
      </c>
      <c r="C204" s="2" t="str">
        <v>Mar</v>
      </c>
      <c r="D204" t="s">
        <v>400</v>
      </c>
      <c r="E204" t="s">
        <v>116</v>
      </c>
      <c r="F204" t="str">
        <f>TRIM(E204)</f>
        <v>Priya</v>
      </c>
      <c r="G204" t="s">
        <v>65</v>
      </c>
      <c r="H204">
        <v>36</v>
      </c>
      <c r="I204" t="str">
        <f t="shared" si="3"/>
        <v>Jaipur</v>
      </c>
      <c r="J204" t="s">
        <v>32</v>
      </c>
      <c r="K204">
        <f ca="1"/>
        <v>36</v>
      </c>
      <c r="N204" t="s">
        <v>18</v>
      </c>
      <c r="O204">
        <v>1</v>
      </c>
      <c r="P204">
        <v>31681</v>
      </c>
      <c r="Q204">
        <v>5</v>
      </c>
      <c r="R204">
        <f>O204*P204</f>
        <v>31681</v>
      </c>
      <c r="S204" t="s">
        <v>56</v>
      </c>
      <c r="T204" t="str">
        <f>TRIM(S204)</f>
        <v>COD</v>
      </c>
      <c r="U204">
        <v>129</v>
      </c>
      <c r="V204" t="s">
        <v>20</v>
      </c>
      <c r="W204">
        <v>4</v>
      </c>
    </row>
    <row r="205" spans="1:23" hidden="1" x14ac:dyDescent="0.3">
      <c r="A205" t="s">
        <v>401</v>
      </c>
      <c r="B205" s="2">
        <v>46198</v>
      </c>
      <c r="C205" s="2" t="str">
        <v>Jun</v>
      </c>
      <c r="D205" t="s">
        <v>248</v>
      </c>
      <c r="E205" t="s">
        <v>30</v>
      </c>
      <c r="F205" t="str">
        <f>TRIM(E205)</f>
        <v>Simran</v>
      </c>
      <c r="G205" t="s">
        <v>24</v>
      </c>
      <c r="H205">
        <v>35</v>
      </c>
      <c r="I205" t="str">
        <f t="shared" si="3"/>
        <v>Chandigarh</v>
      </c>
      <c r="J205" t="s">
        <v>32</v>
      </c>
      <c r="K205">
        <f ca="1"/>
        <v>36</v>
      </c>
      <c r="N205" t="s">
        <v>18</v>
      </c>
      <c r="O205">
        <v>1</v>
      </c>
      <c r="P205">
        <v>42439</v>
      </c>
      <c r="Q205">
        <v>15</v>
      </c>
      <c r="R205">
        <f>O205*P205</f>
        <v>42439</v>
      </c>
      <c r="S205" t="s">
        <v>91</v>
      </c>
      <c r="T205" t="str">
        <f>TRIM(S205)</f>
        <v>Net Banking</v>
      </c>
      <c r="U205">
        <v>36</v>
      </c>
      <c r="V205" t="s">
        <v>20</v>
      </c>
      <c r="W205">
        <v>4</v>
      </c>
    </row>
    <row r="206" spans="1:23" hidden="1" x14ac:dyDescent="0.3">
      <c r="A206" t="s">
        <v>402</v>
      </c>
      <c r="B206" s="2">
        <v>46109</v>
      </c>
      <c r="C206" s="2" t="str">
        <v>Mar</v>
      </c>
      <c r="D206" t="s">
        <v>403</v>
      </c>
      <c r="E206" t="s">
        <v>30</v>
      </c>
      <c r="F206" t="str">
        <f>TRIM(E206)</f>
        <v>Simran</v>
      </c>
      <c r="G206" t="s">
        <v>36</v>
      </c>
      <c r="H206">
        <v>73</v>
      </c>
      <c r="I206" t="str">
        <f t="shared" si="3"/>
        <v>Delhi</v>
      </c>
      <c r="J206" t="s">
        <v>62</v>
      </c>
      <c r="K206">
        <f ca="1"/>
        <v>33</v>
      </c>
      <c r="N206" t="s">
        <v>50</v>
      </c>
      <c r="O206">
        <v>4</v>
      </c>
      <c r="P206">
        <v>1614</v>
      </c>
      <c r="Q206">
        <v>10</v>
      </c>
      <c r="R206">
        <f>O206*P206</f>
        <v>6456</v>
      </c>
      <c r="S206" t="s">
        <v>19</v>
      </c>
      <c r="T206" t="str">
        <f>TRIM(S206)</f>
        <v>UPI</v>
      </c>
      <c r="U206">
        <v>200</v>
      </c>
      <c r="V206" t="s">
        <v>20</v>
      </c>
      <c r="W206">
        <v>3</v>
      </c>
    </row>
    <row r="207" spans="1:23" hidden="1" x14ac:dyDescent="0.3">
      <c r="A207" t="s">
        <v>404</v>
      </c>
      <c r="B207" s="2">
        <v>46108</v>
      </c>
      <c r="C207" s="2" t="str">
        <v>Mar</v>
      </c>
      <c r="D207" t="s">
        <v>111</v>
      </c>
      <c r="E207" t="s">
        <v>71</v>
      </c>
      <c r="F207" t="str">
        <f>TRIM(E207)</f>
        <v>Riya</v>
      </c>
      <c r="G207" t="s">
        <v>117</v>
      </c>
      <c r="H207">
        <v>40</v>
      </c>
      <c r="I207" t="str">
        <f t="shared" si="3"/>
        <v>Ghaziabad</v>
      </c>
      <c r="J207" t="s">
        <v>135</v>
      </c>
      <c r="K207">
        <f ca="1"/>
        <v>28</v>
      </c>
      <c r="N207" t="s">
        <v>50</v>
      </c>
      <c r="O207">
        <v>2</v>
      </c>
      <c r="P207">
        <v>2344</v>
      </c>
      <c r="Q207">
        <v>15</v>
      </c>
      <c r="R207">
        <f>O207*P207</f>
        <v>4688</v>
      </c>
      <c r="S207" t="s">
        <v>19</v>
      </c>
      <c r="T207" t="str">
        <f>TRIM(S207)</f>
        <v>UPI</v>
      </c>
      <c r="U207">
        <v>200</v>
      </c>
      <c r="V207" t="s">
        <v>20</v>
      </c>
      <c r="W207">
        <v>3</v>
      </c>
    </row>
    <row r="208" spans="1:23" hidden="1" x14ac:dyDescent="0.3">
      <c r="A208" t="s">
        <v>405</v>
      </c>
      <c r="B208" s="2">
        <v>46120</v>
      </c>
      <c r="C208" s="2" t="str">
        <v>Apr</v>
      </c>
      <c r="D208" t="s">
        <v>406</v>
      </c>
      <c r="E208" t="s">
        <v>109</v>
      </c>
      <c r="F208" t="str">
        <f>TRIM(E208)</f>
        <v>Neha</v>
      </c>
      <c r="G208" t="s">
        <v>36</v>
      </c>
      <c r="H208">
        <v>73</v>
      </c>
      <c r="I208" t="str">
        <f t="shared" si="3"/>
        <v>Delhi</v>
      </c>
      <c r="J208" t="s">
        <v>127</v>
      </c>
      <c r="K208">
        <f ca="1"/>
        <v>41</v>
      </c>
      <c r="N208" t="s">
        <v>55</v>
      </c>
      <c r="O208">
        <v>1</v>
      </c>
      <c r="P208">
        <v>1400</v>
      </c>
      <c r="Q208">
        <v>20</v>
      </c>
      <c r="R208">
        <f>O208*P208</f>
        <v>1400</v>
      </c>
      <c r="S208" t="s">
        <v>56</v>
      </c>
      <c r="T208" t="str">
        <f>TRIM(S208)</f>
        <v>COD</v>
      </c>
      <c r="U208">
        <v>129</v>
      </c>
      <c r="V208" t="s">
        <v>20</v>
      </c>
      <c r="W208">
        <v>1</v>
      </c>
    </row>
    <row r="209" spans="1:23" hidden="1" x14ac:dyDescent="0.3">
      <c r="A209" t="s">
        <v>407</v>
      </c>
      <c r="B209" s="2">
        <v>46189</v>
      </c>
      <c r="C209" s="2" t="str">
        <v>Jun</v>
      </c>
      <c r="D209" t="s">
        <v>52</v>
      </c>
      <c r="E209" t="s">
        <v>53</v>
      </c>
      <c r="F209" t="str">
        <f>TRIM(E209)</f>
        <v>Isha</v>
      </c>
      <c r="G209" t="s">
        <v>117</v>
      </c>
      <c r="H209">
        <v>40</v>
      </c>
      <c r="I209" t="str">
        <f t="shared" si="3"/>
        <v>Ghaziabad</v>
      </c>
      <c r="J209" t="s">
        <v>32</v>
      </c>
      <c r="K209">
        <f ca="1"/>
        <v>36</v>
      </c>
      <c r="N209" t="s">
        <v>18</v>
      </c>
      <c r="O209">
        <v>1</v>
      </c>
      <c r="P209">
        <v>47818</v>
      </c>
      <c r="Q209">
        <v>0</v>
      </c>
      <c r="R209">
        <f>O209*P209</f>
        <v>47818</v>
      </c>
      <c r="S209" t="s">
        <v>56</v>
      </c>
      <c r="T209" t="str">
        <f>TRIM(S209)</f>
        <v>COD</v>
      </c>
      <c r="U209">
        <v>129</v>
      </c>
      <c r="V209" t="s">
        <v>20</v>
      </c>
      <c r="W209">
        <v>2</v>
      </c>
    </row>
    <row r="210" spans="1:23" hidden="1" x14ac:dyDescent="0.3">
      <c r="A210" t="s">
        <v>408</v>
      </c>
      <c r="B210" s="2">
        <v>46043</v>
      </c>
      <c r="C210" s="2" t="str">
        <v>Jan</v>
      </c>
      <c r="D210" t="s">
        <v>74</v>
      </c>
      <c r="E210" t="s">
        <v>75</v>
      </c>
      <c r="F210" t="str">
        <f>TRIM(E210)</f>
        <v>Sneha</v>
      </c>
      <c r="G210" t="s">
        <v>36</v>
      </c>
      <c r="H210">
        <v>73</v>
      </c>
      <c r="I210" t="str">
        <f t="shared" si="3"/>
        <v>Delhi</v>
      </c>
      <c r="J210" t="s">
        <v>190</v>
      </c>
      <c r="K210">
        <f ca="1"/>
        <v>54</v>
      </c>
      <c r="N210" t="s">
        <v>55</v>
      </c>
      <c r="O210">
        <v>1</v>
      </c>
      <c r="P210">
        <v>2600</v>
      </c>
      <c r="Q210">
        <v>0</v>
      </c>
      <c r="R210">
        <f>O210*P210</f>
        <v>2600</v>
      </c>
      <c r="S210" t="s">
        <v>27</v>
      </c>
      <c r="T210" t="str">
        <f>TRIM(S210)</f>
        <v>Card</v>
      </c>
      <c r="U210">
        <v>135</v>
      </c>
      <c r="V210" t="s">
        <v>20</v>
      </c>
      <c r="W210">
        <v>7</v>
      </c>
    </row>
    <row r="211" spans="1:23" hidden="1" x14ac:dyDescent="0.3">
      <c r="A211" t="s">
        <v>409</v>
      </c>
      <c r="B211" s="2">
        <v>46088</v>
      </c>
      <c r="C211" s="2" t="str">
        <v>Mar</v>
      </c>
      <c r="D211" t="s">
        <v>410</v>
      </c>
      <c r="E211" t="s">
        <v>116</v>
      </c>
      <c r="F211" t="str">
        <f>TRIM(E211)</f>
        <v>Priya</v>
      </c>
      <c r="G211" t="s">
        <v>36</v>
      </c>
      <c r="H211">
        <v>73</v>
      </c>
      <c r="I211" t="str">
        <f t="shared" si="3"/>
        <v>Delhi</v>
      </c>
      <c r="J211" t="s">
        <v>190</v>
      </c>
      <c r="K211">
        <f ca="1"/>
        <v>54</v>
      </c>
      <c r="N211" t="s">
        <v>55</v>
      </c>
      <c r="O211">
        <v>1</v>
      </c>
      <c r="P211">
        <v>500</v>
      </c>
      <c r="Q211">
        <v>15</v>
      </c>
      <c r="R211">
        <f>O211*P211</f>
        <v>500</v>
      </c>
      <c r="S211" t="s">
        <v>19</v>
      </c>
      <c r="T211" t="str">
        <f>TRIM(S211)</f>
        <v>UPI</v>
      </c>
      <c r="U211">
        <v>200</v>
      </c>
      <c r="V211" t="s">
        <v>20</v>
      </c>
      <c r="W211">
        <v>5</v>
      </c>
    </row>
    <row r="212" spans="1:23" hidden="1" x14ac:dyDescent="0.3">
      <c r="A212" t="s">
        <v>411</v>
      </c>
      <c r="B212" s="2">
        <v>46200</v>
      </c>
      <c r="C212" s="2" t="str">
        <v>Jun</v>
      </c>
      <c r="D212" t="s">
        <v>70</v>
      </c>
      <c r="E212" t="s">
        <v>71</v>
      </c>
      <c r="F212" t="str">
        <f>TRIM(E212)</f>
        <v>Riya</v>
      </c>
      <c r="G212" t="s">
        <v>36</v>
      </c>
      <c r="H212">
        <v>73</v>
      </c>
      <c r="I212" t="str">
        <f t="shared" si="3"/>
        <v>Delhi</v>
      </c>
      <c r="J212" t="s">
        <v>54</v>
      </c>
      <c r="K212">
        <f ca="1"/>
        <v>31</v>
      </c>
      <c r="N212" t="s">
        <v>55</v>
      </c>
      <c r="O212">
        <v>1</v>
      </c>
      <c r="P212">
        <v>2800</v>
      </c>
      <c r="Q212">
        <v>0</v>
      </c>
      <c r="R212">
        <f>O212*P212</f>
        <v>2800</v>
      </c>
      <c r="S212" t="s">
        <v>19</v>
      </c>
      <c r="T212" t="str">
        <f>TRIM(S212)</f>
        <v>UPI</v>
      </c>
      <c r="U212">
        <v>200</v>
      </c>
      <c r="V212" t="s">
        <v>20</v>
      </c>
      <c r="W212">
        <v>3</v>
      </c>
    </row>
    <row r="213" spans="1:23" hidden="1" x14ac:dyDescent="0.3">
      <c r="A213" t="s">
        <v>412</v>
      </c>
      <c r="B213" s="2">
        <v>46069</v>
      </c>
      <c r="C213" s="2" t="str">
        <v>Feb</v>
      </c>
      <c r="D213" t="s">
        <v>246</v>
      </c>
      <c r="E213" t="s">
        <v>23</v>
      </c>
      <c r="F213" t="str">
        <f>TRIM(E213)</f>
        <v>Pooja</v>
      </c>
      <c r="G213" t="s">
        <v>36</v>
      </c>
      <c r="H213">
        <v>73</v>
      </c>
      <c r="I213" t="str">
        <f t="shared" si="3"/>
        <v>Delhi</v>
      </c>
      <c r="J213" t="s">
        <v>44</v>
      </c>
      <c r="K213">
        <f ca="1"/>
        <v>29</v>
      </c>
      <c r="N213" t="s">
        <v>45</v>
      </c>
      <c r="O213">
        <v>1</v>
      </c>
      <c r="P213">
        <v>600</v>
      </c>
      <c r="Q213">
        <v>10</v>
      </c>
      <c r="R213">
        <f>O213*P213</f>
        <v>600</v>
      </c>
      <c r="S213" t="s">
        <v>19</v>
      </c>
      <c r="T213" t="str">
        <f>TRIM(S213)</f>
        <v>UPI</v>
      </c>
      <c r="U213">
        <v>200</v>
      </c>
      <c r="V213" t="s">
        <v>20</v>
      </c>
      <c r="W213">
        <v>1</v>
      </c>
    </row>
    <row r="214" spans="1:23" hidden="1" x14ac:dyDescent="0.3">
      <c r="A214" t="s">
        <v>413</v>
      </c>
      <c r="B214" s="2">
        <v>46025</v>
      </c>
      <c r="C214" s="2" t="str">
        <v>Jan</v>
      </c>
      <c r="D214" t="s">
        <v>228</v>
      </c>
      <c r="E214" t="s">
        <v>15</v>
      </c>
      <c r="F214" t="str">
        <f>TRIM(E214)</f>
        <v>Aditya</v>
      </c>
      <c r="G214" t="s">
        <v>65</v>
      </c>
      <c r="H214">
        <v>36</v>
      </c>
      <c r="I214" t="str">
        <f t="shared" si="3"/>
        <v>Jaipur</v>
      </c>
      <c r="J214" t="s">
        <v>156</v>
      </c>
      <c r="K214">
        <f ca="1"/>
        <v>35</v>
      </c>
      <c r="N214" t="s">
        <v>18</v>
      </c>
      <c r="O214">
        <v>1</v>
      </c>
      <c r="P214">
        <v>49611</v>
      </c>
      <c r="Q214">
        <v>0</v>
      </c>
      <c r="R214">
        <f>O214*P214</f>
        <v>49611</v>
      </c>
      <c r="S214" t="s">
        <v>56</v>
      </c>
      <c r="T214" t="str">
        <f>TRIM(S214)</f>
        <v>COD</v>
      </c>
      <c r="U214">
        <v>129</v>
      </c>
      <c r="V214" t="s">
        <v>20</v>
      </c>
      <c r="W214">
        <v>3</v>
      </c>
    </row>
    <row r="215" spans="1:23" hidden="1" x14ac:dyDescent="0.3">
      <c r="A215" t="s">
        <v>414</v>
      </c>
      <c r="B215" s="2">
        <v>46041</v>
      </c>
      <c r="C215" s="2" t="str">
        <v>Jan</v>
      </c>
      <c r="D215" t="s">
        <v>415</v>
      </c>
      <c r="E215" t="s">
        <v>61</v>
      </c>
      <c r="F215" t="str">
        <f>TRIM(E215)</f>
        <v>Nikhil</v>
      </c>
      <c r="G215" t="s">
        <v>65</v>
      </c>
      <c r="H215">
        <v>36</v>
      </c>
      <c r="I215" t="str">
        <f t="shared" si="3"/>
        <v>Jaipur</v>
      </c>
      <c r="J215" t="s">
        <v>68</v>
      </c>
      <c r="K215">
        <f ca="1"/>
        <v>23</v>
      </c>
      <c r="N215" t="s">
        <v>26</v>
      </c>
      <c r="O215">
        <v>1</v>
      </c>
      <c r="P215">
        <v>1780</v>
      </c>
      <c r="Q215">
        <v>0</v>
      </c>
      <c r="R215">
        <f>O215*P215</f>
        <v>1780</v>
      </c>
      <c r="S215" t="s">
        <v>56</v>
      </c>
      <c r="T215" t="str">
        <f>TRIM(S215)</f>
        <v>COD</v>
      </c>
      <c r="U215">
        <v>129</v>
      </c>
      <c r="V215" t="s">
        <v>20</v>
      </c>
      <c r="W215">
        <v>1</v>
      </c>
    </row>
    <row r="216" spans="1:23" hidden="1" x14ac:dyDescent="0.3">
      <c r="A216" t="s">
        <v>416</v>
      </c>
      <c r="B216" s="2">
        <v>46124</v>
      </c>
      <c r="C216" s="2" t="str">
        <v>Apr</v>
      </c>
      <c r="D216" t="s">
        <v>176</v>
      </c>
      <c r="E216" t="s">
        <v>39</v>
      </c>
      <c r="F216" t="str">
        <f>TRIM(E216)</f>
        <v>Aman</v>
      </c>
      <c r="G216" t="s">
        <v>24</v>
      </c>
      <c r="H216">
        <v>35</v>
      </c>
      <c r="I216" t="str">
        <f t="shared" si="3"/>
        <v>Chandigarh</v>
      </c>
      <c r="J216" t="s">
        <v>62</v>
      </c>
      <c r="K216">
        <f ca="1"/>
        <v>33</v>
      </c>
      <c r="N216" t="s">
        <v>50</v>
      </c>
      <c r="O216">
        <v>1</v>
      </c>
      <c r="P216">
        <v>592</v>
      </c>
      <c r="Q216">
        <v>10</v>
      </c>
      <c r="R216">
        <f>O216*P216</f>
        <v>592</v>
      </c>
      <c r="S216" t="s">
        <v>56</v>
      </c>
      <c r="T216" t="str">
        <f>TRIM(S216)</f>
        <v>COD</v>
      </c>
      <c r="U216">
        <v>129</v>
      </c>
      <c r="V216" t="s">
        <v>46</v>
      </c>
      <c r="W216">
        <v>0</v>
      </c>
    </row>
    <row r="217" spans="1:23" hidden="1" x14ac:dyDescent="0.3">
      <c r="A217" t="s">
        <v>417</v>
      </c>
      <c r="B217" s="2">
        <v>46155</v>
      </c>
      <c r="C217" s="2" t="str">
        <v>May</v>
      </c>
      <c r="D217" t="s">
        <v>248</v>
      </c>
      <c r="E217" t="s">
        <v>30</v>
      </c>
      <c r="F217" t="str">
        <f>TRIM(E217)</f>
        <v>Simran</v>
      </c>
      <c r="G217" t="s">
        <v>24</v>
      </c>
      <c r="H217">
        <v>35</v>
      </c>
      <c r="I217" t="str">
        <f t="shared" si="3"/>
        <v>Chandigarh</v>
      </c>
      <c r="J217" t="s">
        <v>127</v>
      </c>
      <c r="K217">
        <f ca="1"/>
        <v>41</v>
      </c>
      <c r="N217" t="s">
        <v>55</v>
      </c>
      <c r="O217">
        <v>3</v>
      </c>
      <c r="P217">
        <v>2400</v>
      </c>
      <c r="Q217">
        <v>0</v>
      </c>
      <c r="R217">
        <f>O217*P217</f>
        <v>7200</v>
      </c>
      <c r="S217" t="s">
        <v>56</v>
      </c>
      <c r="T217" t="str">
        <f>TRIM(S217)</f>
        <v>COD</v>
      </c>
      <c r="U217">
        <v>129</v>
      </c>
      <c r="V217" t="s">
        <v>139</v>
      </c>
      <c r="W217">
        <v>5</v>
      </c>
    </row>
    <row r="218" spans="1:23" x14ac:dyDescent="0.3">
      <c r="A218" t="s">
        <v>418</v>
      </c>
      <c r="B218" s="2">
        <v>46098</v>
      </c>
      <c r="C218" s="2" t="str">
        <v>Mar</v>
      </c>
      <c r="D218" t="s">
        <v>419</v>
      </c>
      <c r="E218" t="s">
        <v>161</v>
      </c>
      <c r="F218" t="str">
        <f>TRIM(E218)</f>
        <v>Ananya</v>
      </c>
      <c r="G218" t="s">
        <v>31</v>
      </c>
      <c r="H218">
        <v>64</v>
      </c>
      <c r="I218" t="str">
        <f t="shared" si="3"/>
        <v>Noida</v>
      </c>
      <c r="J218" t="s">
        <v>17</v>
      </c>
      <c r="K218">
        <f ca="1"/>
        <v>55</v>
      </c>
      <c r="N218" t="s">
        <v>18</v>
      </c>
      <c r="O218">
        <v>2</v>
      </c>
      <c r="P218">
        <v>49611</v>
      </c>
      <c r="Q218">
        <v>0</v>
      </c>
      <c r="R218">
        <f>O218*P218</f>
        <v>99222</v>
      </c>
      <c r="S218" t="s">
        <v>19</v>
      </c>
      <c r="T218" t="str">
        <f>TRIM(S218)</f>
        <v>UPI</v>
      </c>
      <c r="U218">
        <v>200</v>
      </c>
      <c r="V218" t="s">
        <v>20</v>
      </c>
      <c r="W218">
        <v>4</v>
      </c>
    </row>
    <row r="219" spans="1:23" hidden="1" x14ac:dyDescent="0.3">
      <c r="A219" t="s">
        <v>420</v>
      </c>
      <c r="B219" s="2">
        <v>46073</v>
      </c>
      <c r="C219" s="2" t="str">
        <v>Feb</v>
      </c>
      <c r="D219" t="s">
        <v>406</v>
      </c>
      <c r="E219" t="s">
        <v>109</v>
      </c>
      <c r="F219" t="str">
        <f>TRIM(E219)</f>
        <v>Neha</v>
      </c>
      <c r="G219" t="s">
        <v>40</v>
      </c>
      <c r="H219">
        <v>69</v>
      </c>
      <c r="I219" t="str">
        <f t="shared" si="3"/>
        <v>Gurugram</v>
      </c>
      <c r="J219" t="s">
        <v>68</v>
      </c>
      <c r="K219">
        <f ca="1"/>
        <v>23</v>
      </c>
      <c r="N219" t="s">
        <v>26</v>
      </c>
      <c r="O219">
        <v>1</v>
      </c>
      <c r="P219">
        <v>1372</v>
      </c>
      <c r="Q219">
        <v>5</v>
      </c>
      <c r="R219">
        <f>O219*P219</f>
        <v>1372</v>
      </c>
      <c r="S219" t="s">
        <v>56</v>
      </c>
      <c r="T219" t="str">
        <f>TRIM(S219)</f>
        <v>COD</v>
      </c>
      <c r="U219">
        <v>129</v>
      </c>
      <c r="V219" t="s">
        <v>20</v>
      </c>
      <c r="W219">
        <v>3</v>
      </c>
    </row>
    <row r="220" spans="1:23" hidden="1" x14ac:dyDescent="0.3">
      <c r="A220" t="s">
        <v>421</v>
      </c>
      <c r="B220" s="2">
        <v>46038</v>
      </c>
      <c r="C220" s="2" t="str">
        <v>Jan</v>
      </c>
      <c r="D220" t="s">
        <v>422</v>
      </c>
      <c r="E220" t="s">
        <v>184</v>
      </c>
      <c r="F220" t="str">
        <f>TRIM(E220)</f>
        <v>Kavya</v>
      </c>
      <c r="G220" t="s">
        <v>36</v>
      </c>
      <c r="H220">
        <v>73</v>
      </c>
      <c r="I220" t="str">
        <f t="shared" si="3"/>
        <v>Delhi</v>
      </c>
      <c r="J220" t="s">
        <v>190</v>
      </c>
      <c r="K220">
        <f ca="1"/>
        <v>54</v>
      </c>
      <c r="N220" t="s">
        <v>55</v>
      </c>
      <c r="O220">
        <v>1</v>
      </c>
      <c r="P220">
        <v>1900</v>
      </c>
      <c r="Q220">
        <v>20</v>
      </c>
      <c r="R220">
        <f>O220*P220</f>
        <v>1900</v>
      </c>
      <c r="S220" t="s">
        <v>19</v>
      </c>
      <c r="T220" t="str">
        <f>TRIM(S220)</f>
        <v>UPI</v>
      </c>
      <c r="U220">
        <v>200</v>
      </c>
      <c r="V220" t="s">
        <v>20</v>
      </c>
      <c r="W220">
        <v>5</v>
      </c>
    </row>
    <row r="221" spans="1:23" hidden="1" x14ac:dyDescent="0.3">
      <c r="A221" t="s">
        <v>423</v>
      </c>
      <c r="B221" s="2">
        <v>46150</v>
      </c>
      <c r="C221" s="2" t="str">
        <v>May</v>
      </c>
      <c r="D221" t="s">
        <v>121</v>
      </c>
      <c r="E221" t="s">
        <v>109</v>
      </c>
      <c r="F221" t="str">
        <f>TRIM(E221)</f>
        <v>Neha</v>
      </c>
      <c r="G221" t="s">
        <v>117</v>
      </c>
      <c r="H221">
        <v>40</v>
      </c>
      <c r="I221" t="str">
        <f t="shared" si="3"/>
        <v>Ghaziabad</v>
      </c>
      <c r="J221" t="s">
        <v>49</v>
      </c>
      <c r="K221">
        <f ca="1"/>
        <v>29</v>
      </c>
      <c r="N221" t="s">
        <v>50</v>
      </c>
      <c r="O221">
        <v>1</v>
      </c>
      <c r="P221">
        <v>1322</v>
      </c>
      <c r="Q221">
        <v>5</v>
      </c>
      <c r="R221">
        <f>O221*P221</f>
        <v>1322</v>
      </c>
      <c r="S221" t="s">
        <v>19</v>
      </c>
      <c r="T221" t="str">
        <f>TRIM(S221)</f>
        <v>UPI</v>
      </c>
      <c r="U221">
        <v>200</v>
      </c>
      <c r="V221" t="s">
        <v>20</v>
      </c>
      <c r="W221">
        <v>4</v>
      </c>
    </row>
    <row r="222" spans="1:23" hidden="1" x14ac:dyDescent="0.3">
      <c r="A222" t="s">
        <v>424</v>
      </c>
      <c r="B222" s="2">
        <v>46061</v>
      </c>
      <c r="C222" s="2" t="str">
        <v>Feb</v>
      </c>
      <c r="D222" t="s">
        <v>425</v>
      </c>
      <c r="E222" t="s">
        <v>43</v>
      </c>
      <c r="F222" t="str">
        <f>TRIM(E222)</f>
        <v>Aarav</v>
      </c>
      <c r="G222" t="s">
        <v>16</v>
      </c>
      <c r="H222">
        <v>49</v>
      </c>
      <c r="I222" t="str">
        <f t="shared" si="3"/>
        <v>Lucknow</v>
      </c>
      <c r="J222" t="s">
        <v>90</v>
      </c>
      <c r="K222">
        <f ca="1"/>
        <v>41</v>
      </c>
      <c r="N222" t="s">
        <v>18</v>
      </c>
      <c r="O222">
        <v>3</v>
      </c>
      <c r="P222">
        <v>33474</v>
      </c>
      <c r="Q222">
        <v>10</v>
      </c>
      <c r="R222">
        <f>O222*P222</f>
        <v>100422</v>
      </c>
      <c r="S222" t="s">
        <v>27</v>
      </c>
      <c r="T222" t="str">
        <f>TRIM(S222)</f>
        <v>Card</v>
      </c>
      <c r="U222">
        <v>135</v>
      </c>
      <c r="V222" t="s">
        <v>20</v>
      </c>
      <c r="W222">
        <v>4</v>
      </c>
    </row>
    <row r="223" spans="1:23" hidden="1" x14ac:dyDescent="0.3">
      <c r="A223" t="s">
        <v>426</v>
      </c>
      <c r="B223" s="2">
        <v>46068</v>
      </c>
      <c r="C223" s="2" t="str">
        <v>Feb</v>
      </c>
      <c r="D223" t="s">
        <v>14</v>
      </c>
      <c r="E223" t="s">
        <v>15</v>
      </c>
      <c r="F223" t="str">
        <f>TRIM(E223)</f>
        <v>Aditya</v>
      </c>
      <c r="G223" t="s">
        <v>40</v>
      </c>
      <c r="H223">
        <v>69</v>
      </c>
      <c r="I223" t="str">
        <f t="shared" si="3"/>
        <v>Gurugram</v>
      </c>
      <c r="J223" t="s">
        <v>85</v>
      </c>
      <c r="K223">
        <f ca="1"/>
        <v>30</v>
      </c>
      <c r="N223" t="s">
        <v>45</v>
      </c>
      <c r="O223">
        <v>4</v>
      </c>
      <c r="P223">
        <v>1050</v>
      </c>
      <c r="Q223">
        <v>0</v>
      </c>
      <c r="R223">
        <f>O223*P223</f>
        <v>4200</v>
      </c>
      <c r="S223" t="s">
        <v>27</v>
      </c>
      <c r="T223" t="str">
        <f>TRIM(S223)</f>
        <v>Card</v>
      </c>
      <c r="U223">
        <v>135</v>
      </c>
      <c r="V223" t="s">
        <v>20</v>
      </c>
      <c r="W223">
        <v>2</v>
      </c>
    </row>
    <row r="224" spans="1:23" hidden="1" x14ac:dyDescent="0.3">
      <c r="A224" t="s">
        <v>427</v>
      </c>
      <c r="B224" s="2">
        <v>46198</v>
      </c>
      <c r="C224" s="2" t="str">
        <v>Jun</v>
      </c>
      <c r="D224" t="s">
        <v>320</v>
      </c>
      <c r="E224" t="s">
        <v>75</v>
      </c>
      <c r="F224" t="str">
        <f>TRIM(E224)</f>
        <v>Sneha</v>
      </c>
      <c r="G224" t="s">
        <v>81</v>
      </c>
      <c r="H224">
        <v>35</v>
      </c>
      <c r="I224" t="str">
        <f t="shared" si="3"/>
        <v>Faridabad</v>
      </c>
      <c r="J224" t="s">
        <v>85</v>
      </c>
      <c r="K224">
        <f ca="1"/>
        <v>30</v>
      </c>
      <c r="N224" t="s">
        <v>45</v>
      </c>
      <c r="O224">
        <v>2</v>
      </c>
      <c r="P224">
        <v>600</v>
      </c>
      <c r="Q224">
        <v>15</v>
      </c>
      <c r="R224">
        <f>O224*P224</f>
        <v>1200</v>
      </c>
      <c r="S224" t="s">
        <v>91</v>
      </c>
      <c r="T224" t="str">
        <f>TRIM(S224)</f>
        <v>Net Banking</v>
      </c>
      <c r="U224">
        <v>36</v>
      </c>
      <c r="V224" t="s">
        <v>20</v>
      </c>
      <c r="W224">
        <v>2</v>
      </c>
    </row>
    <row r="225" spans="1:23" hidden="1" x14ac:dyDescent="0.3">
      <c r="A225" t="s">
        <v>428</v>
      </c>
      <c r="B225" s="2">
        <v>46146</v>
      </c>
      <c r="C225" s="2" t="str">
        <v>May</v>
      </c>
      <c r="D225" t="s">
        <v>330</v>
      </c>
      <c r="E225" t="s">
        <v>231</v>
      </c>
      <c r="F225" t="str">
        <f>TRIM(E225)</f>
        <v>Vivek</v>
      </c>
      <c r="G225" t="s">
        <v>16</v>
      </c>
      <c r="H225">
        <v>49</v>
      </c>
      <c r="I225" t="str">
        <f t="shared" si="3"/>
        <v>Lucknow</v>
      </c>
      <c r="J225" t="s">
        <v>190</v>
      </c>
      <c r="K225">
        <f ca="1"/>
        <v>54</v>
      </c>
      <c r="N225" t="s">
        <v>55</v>
      </c>
      <c r="O225">
        <v>1</v>
      </c>
      <c r="P225">
        <v>1800</v>
      </c>
      <c r="Q225">
        <v>0</v>
      </c>
      <c r="R225">
        <f>O225*P225</f>
        <v>1800</v>
      </c>
      <c r="S225" t="s">
        <v>19</v>
      </c>
      <c r="T225" t="str">
        <f>TRIM(S225)</f>
        <v>UPI</v>
      </c>
      <c r="U225">
        <v>200</v>
      </c>
      <c r="V225" t="s">
        <v>20</v>
      </c>
      <c r="W225">
        <v>5</v>
      </c>
    </row>
    <row r="226" spans="1:23" hidden="1" x14ac:dyDescent="0.3">
      <c r="A226" t="s">
        <v>429</v>
      </c>
      <c r="B226" s="2">
        <v>46111</v>
      </c>
      <c r="C226" s="2" t="str">
        <v>Mar</v>
      </c>
      <c r="D226" t="s">
        <v>430</v>
      </c>
      <c r="E226" t="s">
        <v>149</v>
      </c>
      <c r="F226" t="str">
        <f>TRIM(E226)</f>
        <v>Rahul</v>
      </c>
      <c r="G226" t="s">
        <v>16</v>
      </c>
      <c r="H226">
        <v>49</v>
      </c>
      <c r="I226" t="str">
        <f t="shared" si="3"/>
        <v>Lucknow</v>
      </c>
      <c r="J226" t="s">
        <v>156</v>
      </c>
      <c r="K226">
        <f ca="1"/>
        <v>35</v>
      </c>
      <c r="N226" t="s">
        <v>18</v>
      </c>
      <c r="O226">
        <v>2</v>
      </c>
      <c r="P226">
        <v>47818</v>
      </c>
      <c r="Q226">
        <v>10</v>
      </c>
      <c r="R226">
        <f>O226*P226</f>
        <v>95636</v>
      </c>
      <c r="S226" t="s">
        <v>19</v>
      </c>
      <c r="T226" t="str">
        <f>TRIM(S226)</f>
        <v>UPI</v>
      </c>
      <c r="U226">
        <v>200</v>
      </c>
      <c r="V226" t="s">
        <v>20</v>
      </c>
      <c r="W226">
        <v>3</v>
      </c>
    </row>
    <row r="227" spans="1:23" x14ac:dyDescent="0.3">
      <c r="A227" t="s">
        <v>431</v>
      </c>
      <c r="B227" s="2">
        <v>46127</v>
      </c>
      <c r="C227" s="2" t="str">
        <v>Apr</v>
      </c>
      <c r="D227" t="s">
        <v>432</v>
      </c>
      <c r="E227" t="s">
        <v>23</v>
      </c>
      <c r="F227" t="str">
        <f>TRIM(E227)</f>
        <v>Pooja</v>
      </c>
      <c r="G227" t="s">
        <v>31</v>
      </c>
      <c r="H227">
        <v>64</v>
      </c>
      <c r="I227" t="str">
        <f t="shared" si="3"/>
        <v>Noida</v>
      </c>
      <c r="J227" t="s">
        <v>131</v>
      </c>
      <c r="K227">
        <f ca="1"/>
        <v>27</v>
      </c>
      <c r="N227" t="s">
        <v>55</v>
      </c>
      <c r="O227">
        <v>2</v>
      </c>
      <c r="P227">
        <v>3400</v>
      </c>
      <c r="Q227">
        <v>0</v>
      </c>
      <c r="R227">
        <f>O227*P227</f>
        <v>6800</v>
      </c>
      <c r="S227" t="s">
        <v>27</v>
      </c>
      <c r="T227" t="str">
        <f>TRIM(S227)</f>
        <v>Card</v>
      </c>
      <c r="U227">
        <v>135</v>
      </c>
      <c r="V227" t="s">
        <v>139</v>
      </c>
      <c r="W227">
        <v>5</v>
      </c>
    </row>
    <row r="228" spans="1:23" hidden="1" x14ac:dyDescent="0.3">
      <c r="A228" t="s">
        <v>433</v>
      </c>
      <c r="B228" s="2">
        <v>46070</v>
      </c>
      <c r="C228" s="2" t="str">
        <v>Feb</v>
      </c>
      <c r="D228" t="s">
        <v>434</v>
      </c>
      <c r="E228" t="s">
        <v>109</v>
      </c>
      <c r="F228" t="str">
        <f>TRIM(E228)</f>
        <v>Neha</v>
      </c>
      <c r="G228" t="s">
        <v>16</v>
      </c>
      <c r="H228">
        <v>49</v>
      </c>
      <c r="I228" t="str">
        <f t="shared" si="3"/>
        <v>Lucknow</v>
      </c>
      <c r="J228" t="s">
        <v>49</v>
      </c>
      <c r="K228">
        <f ca="1"/>
        <v>29</v>
      </c>
      <c r="N228" t="s">
        <v>50</v>
      </c>
      <c r="O228">
        <v>1</v>
      </c>
      <c r="P228">
        <v>1760</v>
      </c>
      <c r="R228">
        <f>O228*P228</f>
        <v>1760</v>
      </c>
      <c r="S228" t="s">
        <v>27</v>
      </c>
      <c r="T228" t="str">
        <f>TRIM(S228)</f>
        <v>Card</v>
      </c>
      <c r="U228">
        <v>135</v>
      </c>
      <c r="V228" t="s">
        <v>20</v>
      </c>
      <c r="W228">
        <v>5</v>
      </c>
    </row>
    <row r="229" spans="1:23" hidden="1" x14ac:dyDescent="0.3">
      <c r="A229" t="s">
        <v>435</v>
      </c>
      <c r="B229" s="2">
        <v>46030</v>
      </c>
      <c r="C229" s="2" t="str">
        <v>Jan</v>
      </c>
      <c r="D229" t="s">
        <v>436</v>
      </c>
      <c r="E229" t="s">
        <v>75</v>
      </c>
      <c r="F229" t="str">
        <f>TRIM(E229)</f>
        <v>Sneha</v>
      </c>
      <c r="G229" t="s">
        <v>40</v>
      </c>
      <c r="H229">
        <v>69</v>
      </c>
      <c r="I229" t="str">
        <f t="shared" si="3"/>
        <v>Gurugram</v>
      </c>
      <c r="J229" t="s">
        <v>190</v>
      </c>
      <c r="K229">
        <f ca="1"/>
        <v>54</v>
      </c>
      <c r="N229" t="s">
        <v>55</v>
      </c>
      <c r="O229">
        <v>1</v>
      </c>
      <c r="P229">
        <v>2600</v>
      </c>
      <c r="Q229">
        <v>15</v>
      </c>
      <c r="R229">
        <f>O229*P229</f>
        <v>2600</v>
      </c>
      <c r="S229" t="s">
        <v>27</v>
      </c>
      <c r="T229" t="str">
        <f>TRIM(S229)</f>
        <v>Card</v>
      </c>
      <c r="U229">
        <v>135</v>
      </c>
      <c r="V229" t="s">
        <v>46</v>
      </c>
      <c r="W229">
        <v>0</v>
      </c>
    </row>
    <row r="230" spans="1:23" hidden="1" x14ac:dyDescent="0.3">
      <c r="A230" t="s">
        <v>437</v>
      </c>
      <c r="B230" s="2">
        <v>46172</v>
      </c>
      <c r="C230" s="2" t="str">
        <v>May</v>
      </c>
      <c r="D230" t="s">
        <v>64</v>
      </c>
      <c r="E230" t="s">
        <v>39</v>
      </c>
      <c r="F230" t="str">
        <f>TRIM(E230)</f>
        <v>Aman</v>
      </c>
      <c r="G230" t="s">
        <v>117</v>
      </c>
      <c r="H230">
        <v>40</v>
      </c>
      <c r="I230" t="str">
        <f t="shared" si="3"/>
        <v>Ghaziabad</v>
      </c>
      <c r="J230" t="s">
        <v>141</v>
      </c>
      <c r="K230">
        <f ca="1"/>
        <v>34</v>
      </c>
      <c r="N230" t="s">
        <v>50</v>
      </c>
      <c r="O230">
        <v>2</v>
      </c>
      <c r="P230">
        <v>2052</v>
      </c>
      <c r="Q230">
        <v>5</v>
      </c>
      <c r="R230">
        <f>O230*P230</f>
        <v>4104</v>
      </c>
      <c r="S230" t="s">
        <v>27</v>
      </c>
      <c r="T230" t="str">
        <f>TRIM(S230)</f>
        <v>Card</v>
      </c>
      <c r="U230">
        <v>135</v>
      </c>
      <c r="V230" t="s">
        <v>20</v>
      </c>
      <c r="W230">
        <v>3</v>
      </c>
    </row>
    <row r="231" spans="1:23" hidden="1" x14ac:dyDescent="0.3">
      <c r="A231" t="s">
        <v>438</v>
      </c>
      <c r="B231" s="2">
        <v>46184</v>
      </c>
      <c r="C231" s="2" t="str">
        <v>Jun</v>
      </c>
      <c r="D231" t="s">
        <v>133</v>
      </c>
      <c r="E231" t="s">
        <v>35</v>
      </c>
      <c r="F231" t="str">
        <f>TRIM(E231)</f>
        <v>Rohan</v>
      </c>
      <c r="G231" t="s">
        <v>40</v>
      </c>
      <c r="H231">
        <v>69</v>
      </c>
      <c r="I231" t="str">
        <f t="shared" si="3"/>
        <v>Gurugram</v>
      </c>
      <c r="J231" t="s">
        <v>72</v>
      </c>
      <c r="K231">
        <f ca="1"/>
        <v>14</v>
      </c>
      <c r="N231" t="s">
        <v>45</v>
      </c>
      <c r="O231">
        <v>1</v>
      </c>
      <c r="P231">
        <v>1000</v>
      </c>
      <c r="Q231">
        <v>10</v>
      </c>
      <c r="R231">
        <f>O231*P231</f>
        <v>1000</v>
      </c>
      <c r="S231" t="s">
        <v>19</v>
      </c>
      <c r="T231" t="str">
        <f>TRIM(S231)</f>
        <v>UPI</v>
      </c>
      <c r="U231">
        <v>200</v>
      </c>
      <c r="V231" t="s">
        <v>20</v>
      </c>
      <c r="W231">
        <v>1</v>
      </c>
    </row>
    <row r="232" spans="1:23" hidden="1" x14ac:dyDescent="0.3">
      <c r="A232" t="s">
        <v>439</v>
      </c>
      <c r="B232" s="2">
        <v>46128</v>
      </c>
      <c r="C232" s="2" t="str">
        <v>Apr</v>
      </c>
      <c r="D232" t="s">
        <v>163</v>
      </c>
      <c r="E232" t="s">
        <v>39</v>
      </c>
      <c r="F232" t="str">
        <f>TRIM(E232)</f>
        <v>Aman</v>
      </c>
      <c r="G232" t="s">
        <v>24</v>
      </c>
      <c r="H232">
        <v>35</v>
      </c>
      <c r="I232" t="str">
        <f t="shared" si="3"/>
        <v>Chandigarh</v>
      </c>
      <c r="J232" t="s">
        <v>127</v>
      </c>
      <c r="K232">
        <f ca="1"/>
        <v>41</v>
      </c>
      <c r="N232" t="s">
        <v>55</v>
      </c>
      <c r="O232">
        <v>1</v>
      </c>
      <c r="P232">
        <v>700</v>
      </c>
      <c r="Q232">
        <v>10</v>
      </c>
      <c r="R232">
        <f>O232*P232</f>
        <v>700</v>
      </c>
      <c r="S232" t="s">
        <v>19</v>
      </c>
      <c r="T232" t="str">
        <f>TRIM(S232)</f>
        <v>UPI</v>
      </c>
      <c r="U232">
        <v>200</v>
      </c>
      <c r="V232" t="s">
        <v>20</v>
      </c>
      <c r="W232">
        <v>4</v>
      </c>
    </row>
    <row r="233" spans="1:23" hidden="1" x14ac:dyDescent="0.3">
      <c r="A233" t="s">
        <v>440</v>
      </c>
      <c r="B233" s="2">
        <v>46135</v>
      </c>
      <c r="C233" s="2" t="str">
        <v>Apr</v>
      </c>
      <c r="D233" t="s">
        <v>441</v>
      </c>
      <c r="E233" t="s">
        <v>184</v>
      </c>
      <c r="F233" t="str">
        <f>TRIM(E233)</f>
        <v>Kavya</v>
      </c>
      <c r="G233" t="s">
        <v>36</v>
      </c>
      <c r="H233">
        <v>73</v>
      </c>
      <c r="I233" t="str">
        <f t="shared" si="3"/>
        <v>Delhi</v>
      </c>
      <c r="J233" t="s">
        <v>32</v>
      </c>
      <c r="K233">
        <f ca="1"/>
        <v>36</v>
      </c>
      <c r="N233" t="s">
        <v>18</v>
      </c>
      <c r="O233">
        <v>1</v>
      </c>
      <c r="P233">
        <v>1200</v>
      </c>
      <c r="Q233">
        <v>15</v>
      </c>
      <c r="R233">
        <f>O233*P233</f>
        <v>1200</v>
      </c>
      <c r="S233" t="s">
        <v>27</v>
      </c>
      <c r="T233" t="str">
        <f>TRIM(S233)</f>
        <v>Card</v>
      </c>
      <c r="U233">
        <v>135</v>
      </c>
      <c r="V233" t="s">
        <v>20</v>
      </c>
      <c r="W233">
        <v>4</v>
      </c>
    </row>
    <row r="234" spans="1:23" hidden="1" x14ac:dyDescent="0.3">
      <c r="A234" t="s">
        <v>442</v>
      </c>
      <c r="B234" s="2">
        <v>46076</v>
      </c>
      <c r="C234" s="2" t="str">
        <v>Feb</v>
      </c>
      <c r="D234" t="s">
        <v>443</v>
      </c>
      <c r="E234" t="s">
        <v>30</v>
      </c>
      <c r="F234" t="str">
        <f>TRIM(E234)</f>
        <v>Simran</v>
      </c>
      <c r="G234" t="s">
        <v>24</v>
      </c>
      <c r="H234">
        <v>35</v>
      </c>
      <c r="I234" t="str">
        <f t="shared" si="3"/>
        <v>Chandigarh</v>
      </c>
      <c r="J234" t="s">
        <v>131</v>
      </c>
      <c r="K234">
        <f ca="1"/>
        <v>27</v>
      </c>
      <c r="N234" t="s">
        <v>55</v>
      </c>
      <c r="O234">
        <v>1</v>
      </c>
      <c r="P234">
        <v>2100</v>
      </c>
      <c r="Q234">
        <v>0</v>
      </c>
      <c r="R234">
        <f>O234*P234</f>
        <v>2100</v>
      </c>
      <c r="S234" t="s">
        <v>19</v>
      </c>
      <c r="T234" t="str">
        <f>TRIM(S234)</f>
        <v>UPI</v>
      </c>
      <c r="U234">
        <v>200</v>
      </c>
      <c r="V234" t="s">
        <v>20</v>
      </c>
      <c r="W234">
        <v>4</v>
      </c>
    </row>
    <row r="235" spans="1:23" hidden="1" x14ac:dyDescent="0.3">
      <c r="A235" t="s">
        <v>444</v>
      </c>
      <c r="B235" s="2">
        <v>46169</v>
      </c>
      <c r="C235" s="2" t="str">
        <v>May</v>
      </c>
      <c r="D235" t="s">
        <v>246</v>
      </c>
      <c r="E235" t="s">
        <v>23</v>
      </c>
      <c r="F235" t="str">
        <f>TRIM(E235)</f>
        <v>Pooja</v>
      </c>
      <c r="G235" t="s">
        <v>40</v>
      </c>
      <c r="H235">
        <v>69</v>
      </c>
      <c r="I235" t="str">
        <f t="shared" si="3"/>
        <v>Gurugram</v>
      </c>
      <c r="J235" t="s">
        <v>95</v>
      </c>
      <c r="K235">
        <f ca="1"/>
        <v>28</v>
      </c>
      <c r="N235" t="s">
        <v>45</v>
      </c>
      <c r="O235">
        <v>1</v>
      </c>
      <c r="P235">
        <v>150</v>
      </c>
      <c r="Q235">
        <v>15</v>
      </c>
      <c r="R235">
        <f>O235*P235</f>
        <v>150</v>
      </c>
      <c r="S235" t="s">
        <v>56</v>
      </c>
      <c r="T235" t="str">
        <f>TRIM(S235)</f>
        <v>COD</v>
      </c>
      <c r="U235">
        <v>129</v>
      </c>
      <c r="V235" t="s">
        <v>20</v>
      </c>
      <c r="W235">
        <v>3</v>
      </c>
    </row>
    <row r="236" spans="1:23" hidden="1" x14ac:dyDescent="0.3">
      <c r="A236" t="s">
        <v>445</v>
      </c>
      <c r="B236" s="2">
        <v>46034</v>
      </c>
      <c r="C236" s="2" t="str">
        <v>Jan</v>
      </c>
      <c r="D236" t="s">
        <v>446</v>
      </c>
      <c r="E236" t="s">
        <v>71</v>
      </c>
      <c r="F236" t="str">
        <f>TRIM(E236)</f>
        <v>Riya</v>
      </c>
      <c r="G236" t="s">
        <v>81</v>
      </c>
      <c r="H236">
        <v>35</v>
      </c>
      <c r="I236" t="str">
        <f t="shared" si="3"/>
        <v>Faridabad</v>
      </c>
      <c r="J236" t="s">
        <v>124</v>
      </c>
      <c r="K236">
        <f ca="1"/>
        <v>44</v>
      </c>
      <c r="N236" t="s">
        <v>55</v>
      </c>
      <c r="O236">
        <v>3</v>
      </c>
      <c r="P236">
        <v>1100</v>
      </c>
      <c r="Q236">
        <v>15</v>
      </c>
      <c r="R236">
        <f>O236*P236</f>
        <v>3300</v>
      </c>
      <c r="S236" t="s">
        <v>56</v>
      </c>
      <c r="T236" t="str">
        <f>TRIM(S236)</f>
        <v>COD</v>
      </c>
      <c r="U236">
        <v>129</v>
      </c>
      <c r="V236" t="s">
        <v>20</v>
      </c>
      <c r="W236">
        <v>6</v>
      </c>
    </row>
    <row r="237" spans="1:23" hidden="1" x14ac:dyDescent="0.3">
      <c r="A237" t="s">
        <v>447</v>
      </c>
      <c r="B237" s="2">
        <v>46197</v>
      </c>
      <c r="C237" s="2" t="str">
        <v>Jun</v>
      </c>
      <c r="D237" t="s">
        <v>448</v>
      </c>
      <c r="E237" t="s">
        <v>101</v>
      </c>
      <c r="F237" t="str">
        <f>TRIM(E237)</f>
        <v>Arjun</v>
      </c>
      <c r="G237" t="s">
        <v>65</v>
      </c>
      <c r="H237">
        <v>36</v>
      </c>
      <c r="I237" t="str">
        <f t="shared" si="3"/>
        <v>Jaipur</v>
      </c>
      <c r="J237" t="s">
        <v>190</v>
      </c>
      <c r="K237">
        <f ca="1"/>
        <v>54</v>
      </c>
      <c r="N237" t="s">
        <v>55</v>
      </c>
      <c r="O237">
        <v>2</v>
      </c>
      <c r="P237">
        <v>3400</v>
      </c>
      <c r="Q237">
        <v>10</v>
      </c>
      <c r="R237">
        <f>O237*P237</f>
        <v>6800</v>
      </c>
      <c r="S237" t="s">
        <v>19</v>
      </c>
      <c r="T237" t="str">
        <f>TRIM(S237)</f>
        <v>UPI</v>
      </c>
      <c r="U237">
        <v>200</v>
      </c>
      <c r="V237" t="s">
        <v>20</v>
      </c>
      <c r="W237">
        <v>5</v>
      </c>
    </row>
    <row r="238" spans="1:23" hidden="1" x14ac:dyDescent="0.3">
      <c r="A238" t="s">
        <v>449</v>
      </c>
      <c r="B238" s="2">
        <v>46106</v>
      </c>
      <c r="C238" s="2" t="str">
        <v>Mar</v>
      </c>
      <c r="D238" t="s">
        <v>350</v>
      </c>
      <c r="E238" t="s">
        <v>149</v>
      </c>
      <c r="F238" t="str">
        <f>TRIM(E238)</f>
        <v>Rahul</v>
      </c>
      <c r="G238" t="s">
        <v>65</v>
      </c>
      <c r="H238">
        <v>36</v>
      </c>
      <c r="I238" t="str">
        <f t="shared" si="3"/>
        <v>Jaipur</v>
      </c>
      <c r="J238" t="s">
        <v>54</v>
      </c>
      <c r="K238">
        <f ca="1"/>
        <v>31</v>
      </c>
      <c r="N238" t="s">
        <v>55</v>
      </c>
      <c r="O238">
        <v>2</v>
      </c>
      <c r="P238">
        <v>1900</v>
      </c>
      <c r="Q238">
        <v>5</v>
      </c>
      <c r="R238">
        <f>O238*P238</f>
        <v>3800</v>
      </c>
      <c r="S238" t="s">
        <v>27</v>
      </c>
      <c r="T238" t="str">
        <f>TRIM(S238)</f>
        <v>Card</v>
      </c>
      <c r="U238">
        <v>135</v>
      </c>
      <c r="V238" t="s">
        <v>20</v>
      </c>
      <c r="W238">
        <v>5</v>
      </c>
    </row>
    <row r="239" spans="1:23" hidden="1" x14ac:dyDescent="0.3">
      <c r="A239" t="s">
        <v>450</v>
      </c>
      <c r="B239" s="2">
        <v>46073</v>
      </c>
      <c r="C239" s="2" t="str">
        <v>Feb</v>
      </c>
      <c r="D239" t="s">
        <v>129</v>
      </c>
      <c r="E239" t="s">
        <v>35</v>
      </c>
      <c r="F239" t="str">
        <f>TRIM(E239)</f>
        <v>Rohan</v>
      </c>
      <c r="G239" t="s">
        <v>65</v>
      </c>
      <c r="H239">
        <v>36</v>
      </c>
      <c r="I239" t="str">
        <f t="shared" si="3"/>
        <v>Jaipur</v>
      </c>
      <c r="J239" t="s">
        <v>141</v>
      </c>
      <c r="K239">
        <f ca="1"/>
        <v>34</v>
      </c>
      <c r="N239" t="s">
        <v>50</v>
      </c>
      <c r="O239">
        <v>2</v>
      </c>
      <c r="P239">
        <v>446</v>
      </c>
      <c r="Q239">
        <v>0</v>
      </c>
      <c r="R239">
        <f>O239*P239</f>
        <v>892</v>
      </c>
      <c r="S239" t="s">
        <v>56</v>
      </c>
      <c r="T239" t="str">
        <f>TRIM(S239)</f>
        <v>COD</v>
      </c>
      <c r="U239">
        <v>129</v>
      </c>
      <c r="V239" t="s">
        <v>20</v>
      </c>
      <c r="W239">
        <v>5</v>
      </c>
    </row>
    <row r="240" spans="1:23" hidden="1" x14ac:dyDescent="0.3">
      <c r="A240" t="s">
        <v>451</v>
      </c>
      <c r="B240" s="2">
        <v>46116</v>
      </c>
      <c r="C240" s="2" t="str">
        <v>Apr</v>
      </c>
      <c r="D240" t="s">
        <v>452</v>
      </c>
      <c r="E240" t="s">
        <v>149</v>
      </c>
      <c r="F240" t="str">
        <f>TRIM(E240)</f>
        <v>Rahul</v>
      </c>
      <c r="G240" t="s">
        <v>36</v>
      </c>
      <c r="H240">
        <v>73</v>
      </c>
      <c r="I240" t="str">
        <f t="shared" si="3"/>
        <v>Delhi</v>
      </c>
      <c r="J240" t="s">
        <v>32</v>
      </c>
      <c r="K240">
        <f ca="1"/>
        <v>36</v>
      </c>
      <c r="N240" t="s">
        <v>18</v>
      </c>
      <c r="O240">
        <v>1</v>
      </c>
      <c r="P240">
        <v>4786</v>
      </c>
      <c r="Q240">
        <v>0</v>
      </c>
      <c r="R240">
        <f>O240*P240</f>
        <v>4786</v>
      </c>
      <c r="S240" t="s">
        <v>19</v>
      </c>
      <c r="T240" t="str">
        <f>TRIM(S240)</f>
        <v>UPI</v>
      </c>
      <c r="U240">
        <v>200</v>
      </c>
      <c r="V240" t="s">
        <v>46</v>
      </c>
      <c r="W240">
        <v>0</v>
      </c>
    </row>
    <row r="241" spans="1:23" hidden="1" x14ac:dyDescent="0.3">
      <c r="A241" t="s">
        <v>453</v>
      </c>
      <c r="B241" s="2">
        <v>46071</v>
      </c>
      <c r="C241" s="2" t="str">
        <v>Feb</v>
      </c>
      <c r="D241" t="s">
        <v>148</v>
      </c>
      <c r="E241" t="s">
        <v>149</v>
      </c>
      <c r="F241" t="str">
        <f>TRIM(E241)</f>
        <v>Rahul</v>
      </c>
      <c r="G241" t="s">
        <v>36</v>
      </c>
      <c r="H241">
        <v>73</v>
      </c>
      <c r="I241" t="str">
        <f t="shared" si="3"/>
        <v>Delhi</v>
      </c>
      <c r="J241" t="s">
        <v>127</v>
      </c>
      <c r="K241">
        <f ca="1"/>
        <v>41</v>
      </c>
      <c r="N241" t="s">
        <v>55</v>
      </c>
      <c r="O241">
        <v>2</v>
      </c>
      <c r="P241">
        <v>1000</v>
      </c>
      <c r="Q241">
        <v>10</v>
      </c>
      <c r="R241">
        <f>O241*P241</f>
        <v>2000</v>
      </c>
      <c r="S241" t="s">
        <v>27</v>
      </c>
      <c r="T241" t="str">
        <f>TRIM(S241)</f>
        <v>Card</v>
      </c>
      <c r="U241">
        <v>135</v>
      </c>
      <c r="V241" t="s">
        <v>20</v>
      </c>
      <c r="W241">
        <v>3</v>
      </c>
    </row>
    <row r="242" spans="1:23" hidden="1" x14ac:dyDescent="0.3">
      <c r="A242" t="s">
        <v>454</v>
      </c>
      <c r="B242" s="2">
        <v>46052</v>
      </c>
      <c r="C242" s="2" t="str">
        <v>Jan</v>
      </c>
      <c r="D242" t="s">
        <v>455</v>
      </c>
      <c r="E242" t="s">
        <v>101</v>
      </c>
      <c r="F242" t="str">
        <f>TRIM(E242)</f>
        <v>Arjun</v>
      </c>
      <c r="G242" t="s">
        <v>40</v>
      </c>
      <c r="H242">
        <v>69</v>
      </c>
      <c r="I242" t="str">
        <f t="shared" si="3"/>
        <v>Gurugram</v>
      </c>
      <c r="J242" t="s">
        <v>383</v>
      </c>
      <c r="K242">
        <f ca="1"/>
        <v>18</v>
      </c>
      <c r="N242" t="s">
        <v>26</v>
      </c>
      <c r="O242">
        <v>2</v>
      </c>
      <c r="P242">
        <v>352</v>
      </c>
      <c r="Q242">
        <v>20</v>
      </c>
      <c r="R242">
        <f>O242*P242</f>
        <v>704</v>
      </c>
      <c r="S242" t="s">
        <v>27</v>
      </c>
      <c r="T242" t="str">
        <f>TRIM(S242)</f>
        <v>Card</v>
      </c>
      <c r="U242">
        <v>135</v>
      </c>
      <c r="V242" t="s">
        <v>20</v>
      </c>
      <c r="W242">
        <v>1</v>
      </c>
    </row>
    <row r="243" spans="1:23" x14ac:dyDescent="0.3">
      <c r="A243" t="s">
        <v>456</v>
      </c>
      <c r="B243" s="2">
        <v>46182</v>
      </c>
      <c r="C243" s="2" t="str">
        <v>Jun</v>
      </c>
      <c r="D243" t="s">
        <v>137</v>
      </c>
      <c r="E243" t="s">
        <v>71</v>
      </c>
      <c r="F243" t="str">
        <f>TRIM(E243)</f>
        <v>Riya</v>
      </c>
      <c r="G243" t="s">
        <v>31</v>
      </c>
      <c r="H243">
        <v>64</v>
      </c>
      <c r="I243" t="str">
        <f t="shared" si="3"/>
        <v>Noida</v>
      </c>
      <c r="J243" t="s">
        <v>141</v>
      </c>
      <c r="K243">
        <f ca="1"/>
        <v>34</v>
      </c>
      <c r="N243" t="s">
        <v>50</v>
      </c>
      <c r="O243">
        <v>2</v>
      </c>
      <c r="P243">
        <v>2271</v>
      </c>
      <c r="Q243">
        <v>5</v>
      </c>
      <c r="R243">
        <f>O243*P243</f>
        <v>4542</v>
      </c>
      <c r="S243" t="s">
        <v>19</v>
      </c>
      <c r="T243" t="str">
        <f>TRIM(S243)</f>
        <v>UPI</v>
      </c>
      <c r="U243">
        <v>200</v>
      </c>
      <c r="V243" t="s">
        <v>20</v>
      </c>
      <c r="W243">
        <v>2</v>
      </c>
    </row>
    <row r="244" spans="1:23" hidden="1" x14ac:dyDescent="0.3">
      <c r="A244" t="s">
        <v>457</v>
      </c>
      <c r="B244" s="2">
        <v>46168</v>
      </c>
      <c r="C244" s="2" t="str">
        <v>May</v>
      </c>
      <c r="D244" t="s">
        <v>338</v>
      </c>
      <c r="E244" t="s">
        <v>61</v>
      </c>
      <c r="F244" t="str">
        <f>TRIM(E244)</f>
        <v>Nikhil</v>
      </c>
      <c r="G244" t="s">
        <v>117</v>
      </c>
      <c r="H244">
        <v>40</v>
      </c>
      <c r="I244" t="str">
        <f t="shared" si="3"/>
        <v>Ghaziabad</v>
      </c>
      <c r="J244" t="s">
        <v>54</v>
      </c>
      <c r="K244">
        <f ca="1"/>
        <v>31</v>
      </c>
      <c r="N244" t="s">
        <v>55</v>
      </c>
      <c r="O244">
        <v>1</v>
      </c>
      <c r="P244">
        <v>3400</v>
      </c>
      <c r="Q244">
        <v>0</v>
      </c>
      <c r="R244">
        <f>O244*P244</f>
        <v>3400</v>
      </c>
      <c r="S244" t="s">
        <v>56</v>
      </c>
      <c r="T244" t="str">
        <f>TRIM(S244)</f>
        <v>COD</v>
      </c>
      <c r="U244">
        <v>129</v>
      </c>
      <c r="V244" t="s">
        <v>20</v>
      </c>
      <c r="W244">
        <v>4</v>
      </c>
    </row>
    <row r="245" spans="1:23" hidden="1" x14ac:dyDescent="0.3">
      <c r="A245" t="s">
        <v>458</v>
      </c>
      <c r="B245" s="2">
        <v>46138</v>
      </c>
      <c r="C245" s="2" t="str">
        <v>Apr</v>
      </c>
      <c r="D245" t="s">
        <v>207</v>
      </c>
      <c r="E245" t="s">
        <v>53</v>
      </c>
      <c r="F245" t="str">
        <f>TRIM(E245)</f>
        <v>Isha</v>
      </c>
      <c r="G245" t="s">
        <v>117</v>
      </c>
      <c r="H245">
        <v>40</v>
      </c>
      <c r="I245" t="str">
        <f t="shared" si="3"/>
        <v>Ghaziabad</v>
      </c>
      <c r="J245" t="s">
        <v>141</v>
      </c>
      <c r="K245">
        <f ca="1"/>
        <v>34</v>
      </c>
      <c r="N245" t="s">
        <v>50</v>
      </c>
      <c r="O245">
        <v>1</v>
      </c>
      <c r="P245">
        <v>1468</v>
      </c>
      <c r="Q245">
        <v>10</v>
      </c>
      <c r="R245">
        <f>O245*P245</f>
        <v>1468</v>
      </c>
      <c r="S245" t="s">
        <v>19</v>
      </c>
      <c r="T245" t="str">
        <f>TRIM(S245)</f>
        <v>UPI</v>
      </c>
      <c r="U245">
        <v>200</v>
      </c>
      <c r="V245" t="s">
        <v>20</v>
      </c>
      <c r="W245">
        <v>3</v>
      </c>
    </row>
    <row r="246" spans="1:23" hidden="1" x14ac:dyDescent="0.3">
      <c r="A246" t="s">
        <v>459</v>
      </c>
      <c r="B246" s="2">
        <v>46196</v>
      </c>
      <c r="C246" s="2" t="str">
        <v>Jun</v>
      </c>
      <c r="D246" t="s">
        <v>148</v>
      </c>
      <c r="E246" t="s">
        <v>149</v>
      </c>
      <c r="F246" t="str">
        <f>TRIM(E246)</f>
        <v>Rahul</v>
      </c>
      <c r="G246" t="s">
        <v>36</v>
      </c>
      <c r="H246">
        <v>73</v>
      </c>
      <c r="I246" t="str">
        <f t="shared" si="3"/>
        <v>Delhi</v>
      </c>
      <c r="J246" t="s">
        <v>124</v>
      </c>
      <c r="K246">
        <f ca="1"/>
        <v>44</v>
      </c>
      <c r="N246" t="s">
        <v>55</v>
      </c>
      <c r="O246">
        <v>1</v>
      </c>
      <c r="P246">
        <v>2300</v>
      </c>
      <c r="Q246">
        <v>15</v>
      </c>
      <c r="R246">
        <f>O246*P246</f>
        <v>2300</v>
      </c>
      <c r="S246" t="s">
        <v>27</v>
      </c>
      <c r="T246" t="str">
        <f>TRIM(S246)</f>
        <v>Card</v>
      </c>
      <c r="U246">
        <v>135</v>
      </c>
      <c r="V246" t="s">
        <v>20</v>
      </c>
      <c r="W246">
        <v>5</v>
      </c>
    </row>
    <row r="247" spans="1:23" x14ac:dyDescent="0.3">
      <c r="A247" t="s">
        <v>460</v>
      </c>
      <c r="B247" s="2">
        <v>46147</v>
      </c>
      <c r="C247" s="2" t="str">
        <v>May</v>
      </c>
      <c r="D247" t="s">
        <v>121</v>
      </c>
      <c r="E247" t="s">
        <v>109</v>
      </c>
      <c r="F247" t="str">
        <f>TRIM(E247)</f>
        <v>Neha</v>
      </c>
      <c r="G247" t="s">
        <v>31</v>
      </c>
      <c r="H247">
        <v>64</v>
      </c>
      <c r="I247" t="str">
        <f t="shared" si="3"/>
        <v>Noida</v>
      </c>
      <c r="J247" t="s">
        <v>54</v>
      </c>
      <c r="K247">
        <f ca="1"/>
        <v>31</v>
      </c>
      <c r="N247" t="s">
        <v>55</v>
      </c>
      <c r="O247">
        <v>1</v>
      </c>
      <c r="P247">
        <v>2700</v>
      </c>
      <c r="Q247">
        <v>25</v>
      </c>
      <c r="R247">
        <f>O247*P247</f>
        <v>2700</v>
      </c>
      <c r="S247" t="s">
        <v>27</v>
      </c>
      <c r="T247" t="str">
        <f>TRIM(S247)</f>
        <v>Card</v>
      </c>
      <c r="U247">
        <v>135</v>
      </c>
      <c r="V247" t="s">
        <v>20</v>
      </c>
      <c r="W247">
        <v>3</v>
      </c>
    </row>
    <row r="248" spans="1:23" hidden="1" x14ac:dyDescent="0.3">
      <c r="A248" t="s">
        <v>461</v>
      </c>
      <c r="B248" s="2">
        <v>46131</v>
      </c>
      <c r="C248" s="2" t="str">
        <v>Apr</v>
      </c>
      <c r="D248" t="s">
        <v>422</v>
      </c>
      <c r="E248" t="s">
        <v>184</v>
      </c>
      <c r="F248" t="str">
        <f>TRIM(E248)</f>
        <v>Kavya</v>
      </c>
      <c r="G248" t="s">
        <v>24</v>
      </c>
      <c r="H248">
        <v>35</v>
      </c>
      <c r="I248" t="str">
        <f t="shared" si="3"/>
        <v>Chandigarh</v>
      </c>
      <c r="J248" t="s">
        <v>113</v>
      </c>
      <c r="K248">
        <f ca="1"/>
        <v>26</v>
      </c>
      <c r="N248" t="s">
        <v>26</v>
      </c>
      <c r="O248">
        <v>1</v>
      </c>
      <c r="P248">
        <v>454</v>
      </c>
      <c r="Q248">
        <v>10</v>
      </c>
      <c r="R248">
        <f>O248*P248</f>
        <v>454</v>
      </c>
      <c r="S248" t="s">
        <v>19</v>
      </c>
      <c r="T248" t="str">
        <f>TRIM(S248)</f>
        <v>UPI</v>
      </c>
      <c r="U248">
        <v>200</v>
      </c>
      <c r="V248" t="s">
        <v>20</v>
      </c>
      <c r="W248">
        <v>3</v>
      </c>
    </row>
    <row r="249" spans="1:23" x14ac:dyDescent="0.3">
      <c r="A249" t="s">
        <v>462</v>
      </c>
      <c r="B249" s="2">
        <v>46201</v>
      </c>
      <c r="C249" s="2" t="str">
        <v>Jun</v>
      </c>
      <c r="D249" t="s">
        <v>77</v>
      </c>
      <c r="E249" t="s">
        <v>23</v>
      </c>
      <c r="F249" t="str">
        <f>TRIM(E249)</f>
        <v>Pooja</v>
      </c>
      <c r="G249" t="s">
        <v>31</v>
      </c>
      <c r="H249">
        <v>64</v>
      </c>
      <c r="I249" t="str">
        <f t="shared" si="3"/>
        <v>Noida</v>
      </c>
      <c r="J249" t="s">
        <v>113</v>
      </c>
      <c r="K249">
        <f ca="1"/>
        <v>26</v>
      </c>
      <c r="N249" t="s">
        <v>26</v>
      </c>
      <c r="O249">
        <v>1</v>
      </c>
      <c r="P249">
        <v>1168</v>
      </c>
      <c r="Q249">
        <v>10</v>
      </c>
      <c r="R249">
        <f>O249*P249</f>
        <v>1168</v>
      </c>
      <c r="S249" t="s">
        <v>27</v>
      </c>
      <c r="T249" t="str">
        <f>TRIM(S249)</f>
        <v>Card</v>
      </c>
      <c r="U249">
        <v>135</v>
      </c>
      <c r="V249" t="s">
        <v>20</v>
      </c>
      <c r="W249">
        <v>3</v>
      </c>
    </row>
    <row r="250" spans="1:23" hidden="1" x14ac:dyDescent="0.3">
      <c r="A250" t="s">
        <v>463</v>
      </c>
      <c r="B250" s="2">
        <v>46114</v>
      </c>
      <c r="C250" s="2" t="str">
        <v>Apr</v>
      </c>
      <c r="D250" t="s">
        <v>464</v>
      </c>
      <c r="E250" t="s">
        <v>149</v>
      </c>
      <c r="F250" t="str">
        <f>TRIM(E250)</f>
        <v>Rahul</v>
      </c>
      <c r="G250" t="s">
        <v>117</v>
      </c>
      <c r="H250">
        <v>40</v>
      </c>
      <c r="I250" t="str">
        <f t="shared" si="3"/>
        <v>Ghaziabad</v>
      </c>
      <c r="J250" t="s">
        <v>95</v>
      </c>
      <c r="K250">
        <f ca="1"/>
        <v>28</v>
      </c>
      <c r="N250" t="s">
        <v>45</v>
      </c>
      <c r="O250">
        <v>2</v>
      </c>
      <c r="P250">
        <v>850</v>
      </c>
      <c r="Q250">
        <v>5</v>
      </c>
      <c r="R250">
        <f>O250*P250</f>
        <v>1700</v>
      </c>
      <c r="S250" t="s">
        <v>56</v>
      </c>
      <c r="T250" t="str">
        <f>TRIM(S250)</f>
        <v>COD</v>
      </c>
      <c r="U250">
        <v>129</v>
      </c>
      <c r="V250" t="s">
        <v>20</v>
      </c>
      <c r="W250">
        <v>3</v>
      </c>
    </row>
    <row r="251" spans="1:23" x14ac:dyDescent="0.3">
      <c r="A251" t="s">
        <v>465</v>
      </c>
      <c r="B251" s="2">
        <v>46126</v>
      </c>
      <c r="C251" s="2" t="str">
        <v>Apr</v>
      </c>
      <c r="D251" t="s">
        <v>93</v>
      </c>
      <c r="E251" t="s">
        <v>94</v>
      </c>
      <c r="F251" t="str">
        <f>TRIM(E251)</f>
        <v>Karan</v>
      </c>
      <c r="G251" t="s">
        <v>31</v>
      </c>
      <c r="H251">
        <v>64</v>
      </c>
      <c r="I251" t="str">
        <f t="shared" si="3"/>
        <v>Noida</v>
      </c>
      <c r="J251" t="s">
        <v>383</v>
      </c>
      <c r="K251">
        <f ca="1"/>
        <v>18</v>
      </c>
      <c r="N251" t="s">
        <v>26</v>
      </c>
      <c r="O251">
        <v>2</v>
      </c>
      <c r="P251">
        <v>454</v>
      </c>
      <c r="Q251">
        <v>0</v>
      </c>
      <c r="R251">
        <f>O251*P251</f>
        <v>908</v>
      </c>
      <c r="S251" t="s">
        <v>56</v>
      </c>
      <c r="T251" t="str">
        <f>TRIM(S251)</f>
        <v>COD</v>
      </c>
      <c r="U251">
        <v>129</v>
      </c>
      <c r="V251" t="s">
        <v>20</v>
      </c>
      <c r="W251">
        <v>5</v>
      </c>
    </row>
    <row r="252" spans="1:23" hidden="1" x14ac:dyDescent="0.3">
      <c r="A252" t="s">
        <v>466</v>
      </c>
      <c r="B252" s="2">
        <v>46195</v>
      </c>
      <c r="C252" s="2" t="str">
        <v>Jun</v>
      </c>
      <c r="D252" t="s">
        <v>302</v>
      </c>
      <c r="E252" t="s">
        <v>231</v>
      </c>
      <c r="F252" t="str">
        <f>TRIM(E252)</f>
        <v>Vivek</v>
      </c>
      <c r="G252" t="s">
        <v>40</v>
      </c>
      <c r="H252">
        <v>69</v>
      </c>
      <c r="I252" t="str">
        <f t="shared" si="3"/>
        <v>Gurugram</v>
      </c>
      <c r="J252" t="s">
        <v>213</v>
      </c>
      <c r="K252">
        <f ca="1"/>
        <v>14</v>
      </c>
      <c r="N252" t="s">
        <v>18</v>
      </c>
      <c r="O252">
        <v>1</v>
      </c>
      <c r="P252">
        <v>11958</v>
      </c>
      <c r="Q252">
        <v>15</v>
      </c>
      <c r="R252">
        <f>O252*P252</f>
        <v>11958</v>
      </c>
      <c r="S252" t="s">
        <v>19</v>
      </c>
      <c r="T252" t="str">
        <f>TRIM(S252)</f>
        <v>UPI</v>
      </c>
      <c r="U252">
        <v>200</v>
      </c>
      <c r="V252" t="s">
        <v>20</v>
      </c>
      <c r="W252">
        <v>6</v>
      </c>
    </row>
    <row r="253" spans="1:23" hidden="1" x14ac:dyDescent="0.3">
      <c r="A253" t="s">
        <v>467</v>
      </c>
      <c r="B253" s="2">
        <v>46092</v>
      </c>
      <c r="C253" s="2" t="str">
        <v>Mar</v>
      </c>
      <c r="D253" t="s">
        <v>145</v>
      </c>
      <c r="E253" t="s">
        <v>30</v>
      </c>
      <c r="F253" t="str">
        <f>TRIM(E253)</f>
        <v>Simran</v>
      </c>
      <c r="G253" t="s">
        <v>36</v>
      </c>
      <c r="H253">
        <v>73</v>
      </c>
      <c r="I253" t="str">
        <f t="shared" si="3"/>
        <v>Delhi</v>
      </c>
      <c r="J253" t="s">
        <v>190</v>
      </c>
      <c r="K253">
        <f ca="1"/>
        <v>54</v>
      </c>
      <c r="N253" t="s">
        <v>55</v>
      </c>
      <c r="O253">
        <v>2</v>
      </c>
      <c r="P253">
        <v>1600</v>
      </c>
      <c r="Q253">
        <v>10</v>
      </c>
      <c r="R253">
        <f>O253*P253</f>
        <v>3200</v>
      </c>
      <c r="S253" t="s">
        <v>19</v>
      </c>
      <c r="T253" t="str">
        <f>TRIM(S253)</f>
        <v>UPI</v>
      </c>
      <c r="U253">
        <v>200</v>
      </c>
      <c r="V253" t="s">
        <v>20</v>
      </c>
      <c r="W253">
        <v>8</v>
      </c>
    </row>
    <row r="254" spans="1:23" hidden="1" x14ac:dyDescent="0.3">
      <c r="A254" t="s">
        <v>468</v>
      </c>
      <c r="B254" s="2">
        <v>46165</v>
      </c>
      <c r="C254" s="2" t="str">
        <v>May</v>
      </c>
      <c r="D254" t="s">
        <v>58</v>
      </c>
      <c r="E254" t="s">
        <v>53</v>
      </c>
      <c r="F254" t="str">
        <f>TRIM(E254)</f>
        <v>Isha</v>
      </c>
      <c r="G254" t="s">
        <v>117</v>
      </c>
      <c r="H254">
        <v>40</v>
      </c>
      <c r="I254" t="str">
        <f t="shared" si="3"/>
        <v>Ghaziabad</v>
      </c>
      <c r="J254" t="s">
        <v>85</v>
      </c>
      <c r="K254">
        <f ca="1"/>
        <v>30</v>
      </c>
      <c r="N254" t="s">
        <v>45</v>
      </c>
      <c r="O254">
        <v>2</v>
      </c>
      <c r="P254">
        <v>1000</v>
      </c>
      <c r="Q254">
        <v>20</v>
      </c>
      <c r="R254">
        <f>O254*P254</f>
        <v>2000</v>
      </c>
      <c r="S254" t="s">
        <v>27</v>
      </c>
      <c r="T254" t="str">
        <f>TRIM(S254)</f>
        <v>Card</v>
      </c>
      <c r="U254">
        <v>135</v>
      </c>
      <c r="V254" t="s">
        <v>20</v>
      </c>
      <c r="W254">
        <v>3</v>
      </c>
    </row>
    <row r="255" spans="1:23" hidden="1" x14ac:dyDescent="0.3">
      <c r="A255" t="s">
        <v>469</v>
      </c>
      <c r="B255" s="2">
        <v>46026</v>
      </c>
      <c r="C255" s="2" t="str">
        <v>Jan</v>
      </c>
      <c r="D255" t="s">
        <v>470</v>
      </c>
      <c r="E255" t="s">
        <v>184</v>
      </c>
      <c r="F255" t="str">
        <f>TRIM(E255)</f>
        <v>Kavya</v>
      </c>
      <c r="G255" t="s">
        <v>16</v>
      </c>
      <c r="H255">
        <v>49</v>
      </c>
      <c r="I255" t="str">
        <f t="shared" si="3"/>
        <v>Lucknow</v>
      </c>
      <c r="J255" t="s">
        <v>127</v>
      </c>
      <c r="K255">
        <f ca="1"/>
        <v>41</v>
      </c>
      <c r="N255" t="s">
        <v>55</v>
      </c>
      <c r="O255">
        <v>2</v>
      </c>
      <c r="P255">
        <v>1200</v>
      </c>
      <c r="Q255">
        <v>5</v>
      </c>
      <c r="R255">
        <f>O255*P255</f>
        <v>2400</v>
      </c>
      <c r="S255" t="s">
        <v>56</v>
      </c>
      <c r="T255" t="str">
        <f>TRIM(S255)</f>
        <v>COD</v>
      </c>
      <c r="U255">
        <v>129</v>
      </c>
      <c r="V255" t="s">
        <v>46</v>
      </c>
      <c r="W255">
        <v>0</v>
      </c>
    </row>
    <row r="256" spans="1:23" hidden="1" x14ac:dyDescent="0.3">
      <c r="A256" t="s">
        <v>471</v>
      </c>
      <c r="B256" s="2">
        <v>46085</v>
      </c>
      <c r="C256" s="2" t="str">
        <v>Mar</v>
      </c>
      <c r="D256" t="s">
        <v>93</v>
      </c>
      <c r="E256" t="s">
        <v>94</v>
      </c>
      <c r="F256" t="str">
        <f>TRIM(E256)</f>
        <v>Karan</v>
      </c>
      <c r="G256" t="s">
        <v>65</v>
      </c>
      <c r="H256">
        <v>36</v>
      </c>
      <c r="I256" t="str">
        <f t="shared" si="3"/>
        <v>Jaipur</v>
      </c>
      <c r="J256" t="s">
        <v>131</v>
      </c>
      <c r="K256">
        <f ca="1"/>
        <v>27</v>
      </c>
      <c r="N256" t="s">
        <v>55</v>
      </c>
      <c r="O256">
        <v>1</v>
      </c>
      <c r="P256">
        <v>1900</v>
      </c>
      <c r="Q256">
        <v>20</v>
      </c>
      <c r="R256">
        <f>O256*P256</f>
        <v>1900</v>
      </c>
      <c r="S256" t="s">
        <v>19</v>
      </c>
      <c r="T256" t="str">
        <f>TRIM(S256)</f>
        <v>UPI</v>
      </c>
      <c r="U256">
        <v>200</v>
      </c>
      <c r="V256" t="s">
        <v>20</v>
      </c>
      <c r="W256">
        <v>6</v>
      </c>
    </row>
    <row r="257" spans="1:23" hidden="1" x14ac:dyDescent="0.3">
      <c r="A257" t="s">
        <v>472</v>
      </c>
      <c r="B257" s="2">
        <v>46160</v>
      </c>
      <c r="C257" s="2" t="str">
        <v>May</v>
      </c>
      <c r="D257" t="s">
        <v>473</v>
      </c>
      <c r="E257" t="s">
        <v>116</v>
      </c>
      <c r="F257" t="str">
        <f>TRIM(E257)</f>
        <v>Priya</v>
      </c>
      <c r="G257" t="s">
        <v>36</v>
      </c>
      <c r="H257">
        <v>73</v>
      </c>
      <c r="I257" t="str">
        <f t="shared" si="3"/>
        <v>Delhi</v>
      </c>
      <c r="J257" t="s">
        <v>190</v>
      </c>
      <c r="K257">
        <f ca="1"/>
        <v>54</v>
      </c>
      <c r="N257" t="s">
        <v>55</v>
      </c>
      <c r="O257">
        <v>1</v>
      </c>
      <c r="P257">
        <v>600</v>
      </c>
      <c r="Q257">
        <v>15</v>
      </c>
      <c r="R257">
        <f>O257*P257</f>
        <v>600</v>
      </c>
      <c r="S257" t="s">
        <v>27</v>
      </c>
      <c r="T257" t="str">
        <f>TRIM(S257)</f>
        <v>Card</v>
      </c>
      <c r="U257">
        <v>135</v>
      </c>
      <c r="V257" t="s">
        <v>20</v>
      </c>
      <c r="W257">
        <v>6</v>
      </c>
    </row>
    <row r="258" spans="1:23" hidden="1" x14ac:dyDescent="0.3">
      <c r="A258" t="s">
        <v>474</v>
      </c>
      <c r="B258" s="2">
        <v>46041</v>
      </c>
      <c r="C258" s="2" t="str">
        <v>Jan</v>
      </c>
      <c r="D258" t="s">
        <v>475</v>
      </c>
      <c r="E258" t="s">
        <v>53</v>
      </c>
      <c r="F258" t="str">
        <f>TRIM(E258)</f>
        <v>Isha</v>
      </c>
      <c r="G258" t="s">
        <v>36</v>
      </c>
      <c r="H258">
        <v>73</v>
      </c>
      <c r="I258" t="str">
        <f t="shared" si="3"/>
        <v>Delhi</v>
      </c>
      <c r="J258" t="s">
        <v>85</v>
      </c>
      <c r="K258">
        <f ca="1"/>
        <v>30</v>
      </c>
      <c r="N258" t="s">
        <v>45</v>
      </c>
      <c r="O258">
        <v>1</v>
      </c>
      <c r="P258">
        <v>150</v>
      </c>
      <c r="Q258">
        <v>10</v>
      </c>
      <c r="R258">
        <f>O258*P258</f>
        <v>150</v>
      </c>
      <c r="S258" t="s">
        <v>19</v>
      </c>
      <c r="T258" t="str">
        <f>TRIM(S258)</f>
        <v>UPI</v>
      </c>
      <c r="U258">
        <v>200</v>
      </c>
      <c r="V258" t="s">
        <v>20</v>
      </c>
      <c r="W258">
        <v>2</v>
      </c>
    </row>
    <row r="259" spans="1:23" x14ac:dyDescent="0.3">
      <c r="A259" t="s">
        <v>476</v>
      </c>
      <c r="B259" s="2">
        <v>46126</v>
      </c>
      <c r="C259" s="2" t="str">
        <v>Apr</v>
      </c>
      <c r="D259" t="s">
        <v>477</v>
      </c>
      <c r="E259" t="s">
        <v>75</v>
      </c>
      <c r="F259" t="str">
        <f>TRIM(E259)</f>
        <v>Sneha</v>
      </c>
      <c r="G259" t="s">
        <v>31</v>
      </c>
      <c r="H259">
        <v>64</v>
      </c>
      <c r="I259" t="str">
        <f t="shared" ref="I259:I322" si="4">TRIM(G259)</f>
        <v>Noida</v>
      </c>
      <c r="J259" t="s">
        <v>88</v>
      </c>
      <c r="K259">
        <f ca="1"/>
        <v>17</v>
      </c>
      <c r="N259" t="s">
        <v>26</v>
      </c>
      <c r="O259">
        <v>1</v>
      </c>
      <c r="P259">
        <v>1729</v>
      </c>
      <c r="Q259">
        <v>5</v>
      </c>
      <c r="R259">
        <f>O259*P259</f>
        <v>1729</v>
      </c>
      <c r="S259" t="s">
        <v>27</v>
      </c>
      <c r="T259" t="str">
        <f>TRIM(S259)</f>
        <v>Card</v>
      </c>
      <c r="U259">
        <v>135</v>
      </c>
      <c r="V259" t="s">
        <v>20</v>
      </c>
      <c r="W259">
        <v>3</v>
      </c>
    </row>
    <row r="260" spans="1:23" hidden="1" x14ac:dyDescent="0.3">
      <c r="A260" t="s">
        <v>478</v>
      </c>
      <c r="B260" s="2">
        <v>46056</v>
      </c>
      <c r="C260" s="2" t="str">
        <v>Feb</v>
      </c>
      <c r="D260" t="s">
        <v>189</v>
      </c>
      <c r="E260" t="s">
        <v>30</v>
      </c>
      <c r="F260" t="str">
        <f>TRIM(E260)</f>
        <v>Simran</v>
      </c>
      <c r="G260" t="s">
        <v>36</v>
      </c>
      <c r="H260">
        <v>73</v>
      </c>
      <c r="I260" t="str">
        <f t="shared" si="4"/>
        <v>Delhi</v>
      </c>
      <c r="J260" t="s">
        <v>90</v>
      </c>
      <c r="K260">
        <f ca="1"/>
        <v>41</v>
      </c>
      <c r="N260" t="s">
        <v>18</v>
      </c>
      <c r="O260">
        <v>1</v>
      </c>
      <c r="P260">
        <v>13751</v>
      </c>
      <c r="Q260">
        <v>15</v>
      </c>
      <c r="R260">
        <f>O260*P260</f>
        <v>13751</v>
      </c>
      <c r="S260" t="s">
        <v>19</v>
      </c>
      <c r="T260" t="str">
        <f>TRIM(S260)</f>
        <v>UPI</v>
      </c>
      <c r="U260">
        <v>200</v>
      </c>
      <c r="V260" t="s">
        <v>20</v>
      </c>
      <c r="W260">
        <v>4</v>
      </c>
    </row>
    <row r="261" spans="1:23" x14ac:dyDescent="0.3">
      <c r="A261" t="s">
        <v>479</v>
      </c>
      <c r="B261" s="2">
        <v>46181</v>
      </c>
      <c r="C261" s="2" t="str">
        <v>Jun</v>
      </c>
      <c r="D261" t="s">
        <v>275</v>
      </c>
      <c r="E261" t="s">
        <v>75</v>
      </c>
      <c r="F261" t="str">
        <f>TRIM(E261)</f>
        <v>Sneha</v>
      </c>
      <c r="G261" t="s">
        <v>31</v>
      </c>
      <c r="H261">
        <v>64</v>
      </c>
      <c r="I261" t="str">
        <f t="shared" si="4"/>
        <v>Noida</v>
      </c>
      <c r="J261" t="s">
        <v>54</v>
      </c>
      <c r="K261">
        <f ca="1"/>
        <v>31</v>
      </c>
      <c r="N261" t="s">
        <v>55</v>
      </c>
      <c r="O261">
        <v>1</v>
      </c>
      <c r="P261">
        <v>2600</v>
      </c>
      <c r="Q261">
        <v>10</v>
      </c>
      <c r="R261">
        <f>O261*P261</f>
        <v>2600</v>
      </c>
      <c r="S261" t="s">
        <v>19</v>
      </c>
      <c r="T261" t="str">
        <f>TRIM(S261)</f>
        <v>UPI</v>
      </c>
      <c r="U261">
        <v>200</v>
      </c>
      <c r="V261" t="s">
        <v>20</v>
      </c>
      <c r="W261">
        <v>4</v>
      </c>
    </row>
    <row r="262" spans="1:23" hidden="1" x14ac:dyDescent="0.3">
      <c r="A262" t="s">
        <v>480</v>
      </c>
      <c r="B262" s="2">
        <v>46043</v>
      </c>
      <c r="C262" s="2" t="str">
        <v>Jan</v>
      </c>
      <c r="D262" t="s">
        <v>100</v>
      </c>
      <c r="E262" t="s">
        <v>101</v>
      </c>
      <c r="F262" t="str">
        <f>TRIM(E262)</f>
        <v>Arjun</v>
      </c>
      <c r="G262" t="s">
        <v>36</v>
      </c>
      <c r="H262">
        <v>73</v>
      </c>
      <c r="I262" t="str">
        <f t="shared" si="4"/>
        <v>Delhi</v>
      </c>
      <c r="J262" t="s">
        <v>127</v>
      </c>
      <c r="K262">
        <f ca="1"/>
        <v>41</v>
      </c>
      <c r="N262" t="s">
        <v>55</v>
      </c>
      <c r="O262">
        <v>1</v>
      </c>
      <c r="P262">
        <v>2600</v>
      </c>
      <c r="Q262">
        <v>15</v>
      </c>
      <c r="R262">
        <f>O262*P262</f>
        <v>2600</v>
      </c>
      <c r="S262" t="s">
        <v>56</v>
      </c>
      <c r="T262" t="str">
        <f>TRIM(S262)</f>
        <v>COD</v>
      </c>
      <c r="U262">
        <v>129</v>
      </c>
      <c r="V262" t="s">
        <v>20</v>
      </c>
      <c r="W262">
        <v>5</v>
      </c>
    </row>
    <row r="263" spans="1:23" hidden="1" x14ac:dyDescent="0.3">
      <c r="A263" t="s">
        <v>481</v>
      </c>
      <c r="B263" s="2">
        <v>46182</v>
      </c>
      <c r="C263" s="2" t="str">
        <v>Jun</v>
      </c>
      <c r="D263" t="s">
        <v>119</v>
      </c>
      <c r="E263" t="s">
        <v>101</v>
      </c>
      <c r="F263" t="str">
        <f>TRIM(E263)</f>
        <v>Arjun</v>
      </c>
      <c r="G263" t="s">
        <v>40</v>
      </c>
      <c r="H263">
        <v>69</v>
      </c>
      <c r="I263" t="str">
        <f t="shared" si="4"/>
        <v>Gurugram</v>
      </c>
      <c r="J263" t="s">
        <v>190</v>
      </c>
      <c r="K263">
        <f ca="1"/>
        <v>54</v>
      </c>
      <c r="N263" t="s">
        <v>55</v>
      </c>
      <c r="O263">
        <v>2</v>
      </c>
      <c r="P263">
        <v>2500</v>
      </c>
      <c r="Q263">
        <v>10</v>
      </c>
      <c r="R263">
        <f>O263*P263</f>
        <v>5000</v>
      </c>
      <c r="S263" t="s">
        <v>27</v>
      </c>
      <c r="T263" t="str">
        <f>TRIM(S263)</f>
        <v>Card</v>
      </c>
      <c r="U263">
        <v>135</v>
      </c>
      <c r="V263" t="s">
        <v>20</v>
      </c>
      <c r="W263">
        <v>6</v>
      </c>
    </row>
    <row r="264" spans="1:23" hidden="1" x14ac:dyDescent="0.3">
      <c r="A264" t="s">
        <v>482</v>
      </c>
      <c r="B264" s="2">
        <v>46034</v>
      </c>
      <c r="C264" s="2" t="str">
        <v>Jan</v>
      </c>
      <c r="D264" t="s">
        <v>295</v>
      </c>
      <c r="E264" t="s">
        <v>94</v>
      </c>
      <c r="F264" t="str">
        <f>TRIM(E264)</f>
        <v>Karan</v>
      </c>
      <c r="G264" t="s">
        <v>40</v>
      </c>
      <c r="H264">
        <v>69</v>
      </c>
      <c r="I264" t="str">
        <f t="shared" si="4"/>
        <v>Gurugram</v>
      </c>
      <c r="J264" t="s">
        <v>124</v>
      </c>
      <c r="K264">
        <f ca="1"/>
        <v>44</v>
      </c>
      <c r="N264" t="s">
        <v>55</v>
      </c>
      <c r="O264">
        <v>1</v>
      </c>
      <c r="P264">
        <v>2800</v>
      </c>
      <c r="Q264">
        <v>0</v>
      </c>
      <c r="R264">
        <f>O264*P264</f>
        <v>2800</v>
      </c>
      <c r="S264" t="s">
        <v>56</v>
      </c>
      <c r="T264" t="str">
        <f>TRIM(S264)</f>
        <v>COD</v>
      </c>
      <c r="U264">
        <v>129</v>
      </c>
      <c r="V264" t="s">
        <v>20</v>
      </c>
      <c r="W264">
        <v>5</v>
      </c>
    </row>
    <row r="265" spans="1:23" x14ac:dyDescent="0.3">
      <c r="A265" t="s">
        <v>483</v>
      </c>
      <c r="B265" s="2">
        <v>46040</v>
      </c>
      <c r="C265" s="2" t="str">
        <v>Jan</v>
      </c>
      <c r="D265" t="s">
        <v>307</v>
      </c>
      <c r="E265" t="s">
        <v>98</v>
      </c>
      <c r="F265" t="str">
        <f>TRIM(E265)</f>
        <v>Meera</v>
      </c>
      <c r="G265" t="s">
        <v>31</v>
      </c>
      <c r="H265">
        <v>64</v>
      </c>
      <c r="I265" t="str">
        <f t="shared" si="4"/>
        <v>Noida</v>
      </c>
      <c r="J265" t="s">
        <v>25</v>
      </c>
      <c r="K265">
        <f ca="1"/>
        <v>20</v>
      </c>
      <c r="N265" t="s">
        <v>26</v>
      </c>
      <c r="O265">
        <v>1</v>
      </c>
      <c r="P265">
        <v>607</v>
      </c>
      <c r="Q265">
        <v>5</v>
      </c>
      <c r="R265">
        <f>O265*P265</f>
        <v>607</v>
      </c>
      <c r="S265" t="s">
        <v>56</v>
      </c>
      <c r="T265" t="str">
        <f>TRIM(S265)</f>
        <v>COD</v>
      </c>
      <c r="U265">
        <v>129</v>
      </c>
      <c r="V265" t="s">
        <v>20</v>
      </c>
      <c r="W265">
        <v>2</v>
      </c>
    </row>
    <row r="266" spans="1:23" x14ac:dyDescent="0.3">
      <c r="A266" t="s">
        <v>484</v>
      </c>
      <c r="B266" s="2">
        <v>46143</v>
      </c>
      <c r="C266" s="2" t="str">
        <v>May</v>
      </c>
      <c r="D266" t="s">
        <v>205</v>
      </c>
      <c r="E266" t="s">
        <v>98</v>
      </c>
      <c r="F266" t="str">
        <f>TRIM(E266)</f>
        <v>Meera</v>
      </c>
      <c r="G266" t="s">
        <v>31</v>
      </c>
      <c r="H266">
        <v>64</v>
      </c>
      <c r="I266" t="str">
        <f t="shared" si="4"/>
        <v>Noida</v>
      </c>
      <c r="J266" t="s">
        <v>54</v>
      </c>
      <c r="K266">
        <f ca="1"/>
        <v>31</v>
      </c>
      <c r="N266" t="s">
        <v>55</v>
      </c>
      <c r="O266">
        <v>1</v>
      </c>
      <c r="P266">
        <v>600</v>
      </c>
      <c r="Q266">
        <v>15</v>
      </c>
      <c r="R266">
        <f>O266*P266</f>
        <v>600</v>
      </c>
      <c r="S266" t="s">
        <v>56</v>
      </c>
      <c r="T266" t="str">
        <f>TRIM(S266)</f>
        <v>COD</v>
      </c>
      <c r="U266">
        <v>129</v>
      </c>
      <c r="V266" t="s">
        <v>20</v>
      </c>
      <c r="W266">
        <v>4</v>
      </c>
    </row>
    <row r="267" spans="1:23" hidden="1" x14ac:dyDescent="0.3">
      <c r="A267" t="s">
        <v>485</v>
      </c>
      <c r="B267" s="2">
        <v>46187</v>
      </c>
      <c r="C267" s="2" t="str">
        <v>Jun</v>
      </c>
      <c r="D267" t="s">
        <v>179</v>
      </c>
      <c r="E267" t="s">
        <v>23</v>
      </c>
      <c r="F267" t="str">
        <f>TRIM(E267)</f>
        <v>Pooja</v>
      </c>
      <c r="G267" t="s">
        <v>36</v>
      </c>
      <c r="H267">
        <v>73</v>
      </c>
      <c r="I267" t="str">
        <f t="shared" si="4"/>
        <v>Delhi</v>
      </c>
      <c r="J267" t="s">
        <v>17</v>
      </c>
      <c r="K267">
        <f ca="1"/>
        <v>55</v>
      </c>
      <c r="N267" t="s">
        <v>18</v>
      </c>
      <c r="O267">
        <v>3</v>
      </c>
      <c r="P267">
        <v>1200</v>
      </c>
      <c r="Q267">
        <v>15</v>
      </c>
      <c r="R267">
        <f>O267*P267</f>
        <v>3600</v>
      </c>
      <c r="S267" t="s">
        <v>27</v>
      </c>
      <c r="T267" t="str">
        <f>TRIM(S267)</f>
        <v>Card</v>
      </c>
      <c r="U267">
        <v>135</v>
      </c>
      <c r="V267" t="s">
        <v>20</v>
      </c>
      <c r="W267">
        <v>4</v>
      </c>
    </row>
    <row r="268" spans="1:23" hidden="1" x14ac:dyDescent="0.3">
      <c r="A268" t="s">
        <v>486</v>
      </c>
      <c r="B268" s="2">
        <v>46035</v>
      </c>
      <c r="C268" s="2" t="str">
        <v>Jan</v>
      </c>
      <c r="D268" t="s">
        <v>487</v>
      </c>
      <c r="E268" t="s">
        <v>116</v>
      </c>
      <c r="F268" t="str">
        <f>TRIM(E268)</f>
        <v>Priya</v>
      </c>
      <c r="G268" t="s">
        <v>36</v>
      </c>
      <c r="H268">
        <v>73</v>
      </c>
      <c r="I268" t="str">
        <f t="shared" si="4"/>
        <v>Delhi</v>
      </c>
      <c r="J268" t="s">
        <v>54</v>
      </c>
      <c r="K268">
        <f ca="1"/>
        <v>31</v>
      </c>
      <c r="N268" t="s">
        <v>55</v>
      </c>
      <c r="O268">
        <v>2</v>
      </c>
      <c r="P268">
        <v>2100</v>
      </c>
      <c r="Q268">
        <v>20</v>
      </c>
      <c r="R268">
        <f>O268*P268</f>
        <v>4200</v>
      </c>
      <c r="S268" t="s">
        <v>19</v>
      </c>
      <c r="T268" t="str">
        <f>TRIM(S268)</f>
        <v>UPI</v>
      </c>
      <c r="U268">
        <v>200</v>
      </c>
      <c r="V268" t="s">
        <v>20</v>
      </c>
      <c r="W268">
        <v>4</v>
      </c>
    </row>
    <row r="269" spans="1:23" hidden="1" x14ac:dyDescent="0.3">
      <c r="A269" t="s">
        <v>488</v>
      </c>
      <c r="B269" s="2">
        <v>46050</v>
      </c>
      <c r="C269" s="2" t="str">
        <v>Jan</v>
      </c>
      <c r="D269" t="s">
        <v>322</v>
      </c>
      <c r="E269" t="s">
        <v>161</v>
      </c>
      <c r="F269" t="str">
        <f>TRIM(E269)</f>
        <v>Ananya</v>
      </c>
      <c r="G269" t="s">
        <v>65</v>
      </c>
      <c r="H269">
        <v>36</v>
      </c>
      <c r="I269" t="str">
        <f t="shared" si="4"/>
        <v>Jaipur</v>
      </c>
      <c r="J269" t="s">
        <v>124</v>
      </c>
      <c r="K269">
        <f ca="1"/>
        <v>44</v>
      </c>
      <c r="N269" t="s">
        <v>55</v>
      </c>
      <c r="O269">
        <v>2</v>
      </c>
      <c r="P269">
        <v>1800</v>
      </c>
      <c r="Q269">
        <v>0</v>
      </c>
      <c r="R269">
        <f>O269*P269</f>
        <v>3600</v>
      </c>
      <c r="S269" t="s">
        <v>56</v>
      </c>
      <c r="T269" t="str">
        <f>TRIM(S269)</f>
        <v>COD</v>
      </c>
      <c r="U269">
        <v>129</v>
      </c>
      <c r="V269" t="s">
        <v>20</v>
      </c>
      <c r="W269">
        <v>3</v>
      </c>
    </row>
    <row r="270" spans="1:23" hidden="1" x14ac:dyDescent="0.3">
      <c r="A270" t="s">
        <v>489</v>
      </c>
      <c r="B270" s="2">
        <v>46122</v>
      </c>
      <c r="C270" s="2" t="str">
        <v>Apr</v>
      </c>
      <c r="D270" t="s">
        <v>119</v>
      </c>
      <c r="E270" t="s">
        <v>101</v>
      </c>
      <c r="F270" t="str">
        <f>TRIM(E270)</f>
        <v>Arjun</v>
      </c>
      <c r="G270" t="s">
        <v>65</v>
      </c>
      <c r="H270">
        <v>36</v>
      </c>
      <c r="I270" t="str">
        <f t="shared" si="4"/>
        <v>Jaipur</v>
      </c>
      <c r="J270" t="s">
        <v>156</v>
      </c>
      <c r="K270">
        <f ca="1"/>
        <v>35</v>
      </c>
      <c r="N270" t="s">
        <v>18</v>
      </c>
      <c r="O270">
        <v>1</v>
      </c>
      <c r="P270">
        <v>10165</v>
      </c>
      <c r="Q270">
        <v>20</v>
      </c>
      <c r="R270">
        <f>O270*P270</f>
        <v>10165</v>
      </c>
      <c r="S270" t="s">
        <v>19</v>
      </c>
      <c r="T270" t="str">
        <f>TRIM(S270)</f>
        <v>UPI</v>
      </c>
      <c r="U270">
        <v>200</v>
      </c>
      <c r="V270" t="s">
        <v>20</v>
      </c>
      <c r="W270">
        <v>1</v>
      </c>
    </row>
    <row r="271" spans="1:23" hidden="1" x14ac:dyDescent="0.3">
      <c r="A271" t="s">
        <v>490</v>
      </c>
      <c r="B271" s="2">
        <v>46029</v>
      </c>
      <c r="C271" s="2" t="str">
        <v>Jan</v>
      </c>
      <c r="D271" t="s">
        <v>275</v>
      </c>
      <c r="E271" t="s">
        <v>75</v>
      </c>
      <c r="F271" t="str">
        <f>TRIM(E271)</f>
        <v>Sneha</v>
      </c>
      <c r="G271" t="s">
        <v>36</v>
      </c>
      <c r="H271">
        <v>73</v>
      </c>
      <c r="I271" t="str">
        <f t="shared" si="4"/>
        <v>Delhi</v>
      </c>
      <c r="J271" t="s">
        <v>88</v>
      </c>
      <c r="K271">
        <f ca="1"/>
        <v>17</v>
      </c>
      <c r="N271" t="s">
        <v>26</v>
      </c>
      <c r="O271">
        <v>1</v>
      </c>
      <c r="P271">
        <v>811</v>
      </c>
      <c r="Q271">
        <v>15</v>
      </c>
      <c r="R271">
        <f>O271*P271</f>
        <v>811</v>
      </c>
      <c r="S271" t="s">
        <v>19</v>
      </c>
      <c r="T271" t="str">
        <f>TRIM(S271)</f>
        <v>UPI</v>
      </c>
      <c r="U271">
        <v>200</v>
      </c>
      <c r="V271" t="s">
        <v>46</v>
      </c>
      <c r="W271">
        <v>0</v>
      </c>
    </row>
    <row r="272" spans="1:23" hidden="1" x14ac:dyDescent="0.3">
      <c r="A272" t="s">
        <v>491</v>
      </c>
      <c r="B272" s="2">
        <v>46079</v>
      </c>
      <c r="C272" s="2" t="str">
        <v>Feb</v>
      </c>
      <c r="D272" t="s">
        <v>430</v>
      </c>
      <c r="E272" t="s">
        <v>149</v>
      </c>
      <c r="F272" t="str">
        <f>TRIM(E272)</f>
        <v>Rahul</v>
      </c>
      <c r="G272" t="s">
        <v>16</v>
      </c>
      <c r="H272">
        <v>49</v>
      </c>
      <c r="I272" t="str">
        <f t="shared" si="4"/>
        <v>Lucknow</v>
      </c>
      <c r="J272" t="s">
        <v>113</v>
      </c>
      <c r="K272">
        <f ca="1"/>
        <v>26</v>
      </c>
      <c r="N272" t="s">
        <v>26</v>
      </c>
      <c r="O272">
        <v>1</v>
      </c>
      <c r="P272">
        <v>811</v>
      </c>
      <c r="Q272">
        <v>10</v>
      </c>
      <c r="R272">
        <f>O272*P272</f>
        <v>811</v>
      </c>
      <c r="S272" t="s">
        <v>19</v>
      </c>
      <c r="T272" t="str">
        <f>TRIM(S272)</f>
        <v>UPI</v>
      </c>
      <c r="U272">
        <v>200</v>
      </c>
      <c r="V272" t="s">
        <v>46</v>
      </c>
      <c r="W272">
        <v>0</v>
      </c>
    </row>
    <row r="273" spans="1:23" hidden="1" x14ac:dyDescent="0.3">
      <c r="A273" t="s">
        <v>492</v>
      </c>
      <c r="B273" s="2">
        <v>46103</v>
      </c>
      <c r="C273" s="2" t="str">
        <v>Mar</v>
      </c>
      <c r="D273" t="s">
        <v>309</v>
      </c>
      <c r="E273" t="s">
        <v>30</v>
      </c>
      <c r="F273" t="str">
        <f>TRIM(E273)</f>
        <v>Simran</v>
      </c>
      <c r="G273" t="s">
        <v>36</v>
      </c>
      <c r="H273">
        <v>73</v>
      </c>
      <c r="I273" t="str">
        <f t="shared" si="4"/>
        <v>Delhi</v>
      </c>
      <c r="J273" t="s">
        <v>127</v>
      </c>
      <c r="K273">
        <f ca="1"/>
        <v>41</v>
      </c>
      <c r="N273" t="s">
        <v>55</v>
      </c>
      <c r="O273">
        <v>1</v>
      </c>
      <c r="P273">
        <v>700</v>
      </c>
      <c r="Q273">
        <v>10</v>
      </c>
      <c r="R273">
        <f>O273*P273</f>
        <v>700</v>
      </c>
      <c r="S273" t="s">
        <v>27</v>
      </c>
      <c r="T273" t="str">
        <f>TRIM(S273)</f>
        <v>Card</v>
      </c>
      <c r="U273">
        <v>135</v>
      </c>
      <c r="V273" t="s">
        <v>20</v>
      </c>
      <c r="W273">
        <v>6</v>
      </c>
    </row>
    <row r="274" spans="1:23" hidden="1" x14ac:dyDescent="0.3">
      <c r="A274" t="s">
        <v>493</v>
      </c>
      <c r="B274" s="2">
        <v>46175</v>
      </c>
      <c r="C274" s="2" t="str">
        <v>Jun</v>
      </c>
      <c r="D274" t="s">
        <v>273</v>
      </c>
      <c r="E274" t="s">
        <v>15</v>
      </c>
      <c r="F274" t="str">
        <f>TRIM(E274)</f>
        <v>Aditya</v>
      </c>
      <c r="G274" t="s">
        <v>24</v>
      </c>
      <c r="H274">
        <v>35</v>
      </c>
      <c r="I274" t="str">
        <f t="shared" si="4"/>
        <v>Chandigarh</v>
      </c>
      <c r="J274" t="s">
        <v>49</v>
      </c>
      <c r="K274">
        <f ca="1"/>
        <v>29</v>
      </c>
      <c r="N274" t="s">
        <v>50</v>
      </c>
      <c r="O274">
        <v>1</v>
      </c>
      <c r="P274">
        <v>1687</v>
      </c>
      <c r="Q274">
        <v>5</v>
      </c>
      <c r="R274">
        <f>O274*P274</f>
        <v>1687</v>
      </c>
      <c r="S274" t="s">
        <v>19</v>
      </c>
      <c r="T274" t="str">
        <f>TRIM(S274)</f>
        <v>UPI</v>
      </c>
      <c r="U274">
        <v>200</v>
      </c>
      <c r="V274" t="s">
        <v>20</v>
      </c>
      <c r="W274">
        <v>4</v>
      </c>
    </row>
    <row r="275" spans="1:23" hidden="1" x14ac:dyDescent="0.3">
      <c r="A275" t="s">
        <v>494</v>
      </c>
      <c r="B275" s="2">
        <v>46197</v>
      </c>
      <c r="C275" s="2" t="str">
        <v>Jun</v>
      </c>
      <c r="D275" t="s">
        <v>260</v>
      </c>
      <c r="E275" t="s">
        <v>61</v>
      </c>
      <c r="F275" t="str">
        <f>TRIM(E275)</f>
        <v>Nikhil</v>
      </c>
      <c r="G275" t="s">
        <v>16</v>
      </c>
      <c r="H275">
        <v>49</v>
      </c>
      <c r="I275" t="str">
        <f t="shared" si="4"/>
        <v>Lucknow</v>
      </c>
      <c r="J275" t="s">
        <v>17</v>
      </c>
      <c r="K275">
        <f ca="1"/>
        <v>55</v>
      </c>
      <c r="N275" t="s">
        <v>18</v>
      </c>
      <c r="O275">
        <v>2</v>
      </c>
      <c r="P275">
        <v>44232</v>
      </c>
      <c r="Q275">
        <v>10</v>
      </c>
      <c r="R275">
        <f>O275*P275</f>
        <v>88464</v>
      </c>
      <c r="S275" t="s">
        <v>19</v>
      </c>
      <c r="T275" t="str">
        <f>TRIM(S275)</f>
        <v>UPI</v>
      </c>
      <c r="U275">
        <v>200</v>
      </c>
      <c r="V275" t="s">
        <v>20</v>
      </c>
      <c r="W275">
        <v>5</v>
      </c>
    </row>
    <row r="276" spans="1:23" hidden="1" x14ac:dyDescent="0.3">
      <c r="A276" t="s">
        <v>495</v>
      </c>
      <c r="B276" s="2">
        <v>46065</v>
      </c>
      <c r="C276" s="2" t="str">
        <v>Feb</v>
      </c>
      <c r="D276" t="s">
        <v>192</v>
      </c>
      <c r="E276" t="s">
        <v>98</v>
      </c>
      <c r="F276" t="str">
        <f>TRIM(E276)</f>
        <v>Meera</v>
      </c>
      <c r="G276" t="s">
        <v>81</v>
      </c>
      <c r="H276">
        <v>35</v>
      </c>
      <c r="I276" t="str">
        <f t="shared" si="4"/>
        <v>Faridabad</v>
      </c>
      <c r="J276" t="s">
        <v>141</v>
      </c>
      <c r="K276">
        <f ca="1"/>
        <v>34</v>
      </c>
      <c r="N276" t="s">
        <v>50</v>
      </c>
      <c r="O276">
        <v>2</v>
      </c>
      <c r="P276">
        <v>1322</v>
      </c>
      <c r="Q276">
        <v>10</v>
      </c>
      <c r="R276">
        <f>O276*P276</f>
        <v>2644</v>
      </c>
      <c r="S276" t="s">
        <v>56</v>
      </c>
      <c r="T276" t="str">
        <f>TRIM(S276)</f>
        <v>COD</v>
      </c>
      <c r="U276">
        <v>129</v>
      </c>
      <c r="V276" t="s">
        <v>20</v>
      </c>
      <c r="W276">
        <v>2</v>
      </c>
    </row>
    <row r="277" spans="1:23" hidden="1" x14ac:dyDescent="0.3">
      <c r="A277" t="s">
        <v>496</v>
      </c>
      <c r="B277" s="2">
        <v>46154</v>
      </c>
      <c r="C277" s="2" t="str">
        <v>May</v>
      </c>
      <c r="D277" t="s">
        <v>104</v>
      </c>
      <c r="E277" t="s">
        <v>35</v>
      </c>
      <c r="F277" t="str">
        <f>TRIM(E277)</f>
        <v>Rohan</v>
      </c>
      <c r="G277" t="s">
        <v>65</v>
      </c>
      <c r="H277">
        <v>36</v>
      </c>
      <c r="I277" t="str">
        <f t="shared" si="4"/>
        <v>Jaipur</v>
      </c>
      <c r="J277" t="s">
        <v>113</v>
      </c>
      <c r="K277">
        <f ca="1"/>
        <v>26</v>
      </c>
      <c r="N277" t="s">
        <v>26</v>
      </c>
      <c r="O277">
        <v>1</v>
      </c>
      <c r="P277">
        <v>301</v>
      </c>
      <c r="Q277">
        <v>10</v>
      </c>
      <c r="R277">
        <f>O277*P277</f>
        <v>301</v>
      </c>
      <c r="S277" t="s">
        <v>19</v>
      </c>
      <c r="T277" t="str">
        <f>TRIM(S277)</f>
        <v>UPI</v>
      </c>
      <c r="U277">
        <v>200</v>
      </c>
      <c r="V277" t="s">
        <v>20</v>
      </c>
      <c r="W277">
        <v>2</v>
      </c>
    </row>
    <row r="278" spans="1:23" hidden="1" x14ac:dyDescent="0.3">
      <c r="A278" t="s">
        <v>497</v>
      </c>
      <c r="B278" s="2">
        <v>46112</v>
      </c>
      <c r="C278" s="2" t="str">
        <v>Mar</v>
      </c>
      <c r="D278" t="s">
        <v>498</v>
      </c>
      <c r="E278" t="s">
        <v>39</v>
      </c>
      <c r="F278" t="str">
        <f>TRIM(E278)</f>
        <v>Aman</v>
      </c>
      <c r="G278" t="s">
        <v>24</v>
      </c>
      <c r="H278">
        <v>35</v>
      </c>
      <c r="I278" t="str">
        <f t="shared" si="4"/>
        <v>Chandigarh</v>
      </c>
      <c r="J278" t="s">
        <v>32</v>
      </c>
      <c r="K278">
        <f ca="1"/>
        <v>36</v>
      </c>
      <c r="N278" t="s">
        <v>18</v>
      </c>
      <c r="O278">
        <v>1</v>
      </c>
      <c r="P278">
        <v>31681</v>
      </c>
      <c r="Q278">
        <v>10</v>
      </c>
      <c r="R278">
        <f>O278*P278</f>
        <v>31681</v>
      </c>
      <c r="S278" t="s">
        <v>56</v>
      </c>
      <c r="T278" t="str">
        <f>TRIM(S278)</f>
        <v>COD</v>
      </c>
      <c r="U278">
        <v>129</v>
      </c>
      <c r="V278" t="s">
        <v>20</v>
      </c>
      <c r="W278">
        <v>4</v>
      </c>
    </row>
    <row r="279" spans="1:23" hidden="1" x14ac:dyDescent="0.3">
      <c r="A279" t="s">
        <v>499</v>
      </c>
      <c r="B279" s="2">
        <v>46047</v>
      </c>
      <c r="C279" s="2" t="str">
        <v>Jan</v>
      </c>
      <c r="D279" t="s">
        <v>434</v>
      </c>
      <c r="E279" t="s">
        <v>109</v>
      </c>
      <c r="F279" t="str">
        <f>TRIM(E279)</f>
        <v>Neha</v>
      </c>
      <c r="G279" t="s">
        <v>16</v>
      </c>
      <c r="H279">
        <v>49</v>
      </c>
      <c r="I279" t="str">
        <f t="shared" si="4"/>
        <v>Lucknow</v>
      </c>
      <c r="J279" t="s">
        <v>62</v>
      </c>
      <c r="K279">
        <f ca="1"/>
        <v>33</v>
      </c>
      <c r="N279" t="s">
        <v>50</v>
      </c>
      <c r="O279">
        <v>2</v>
      </c>
      <c r="P279">
        <v>1176</v>
      </c>
      <c r="Q279">
        <v>10</v>
      </c>
      <c r="R279">
        <f>O279*P279</f>
        <v>2352</v>
      </c>
      <c r="S279" t="s">
        <v>19</v>
      </c>
      <c r="T279" t="str">
        <f>TRIM(S279)</f>
        <v>UPI</v>
      </c>
      <c r="U279">
        <v>200</v>
      </c>
      <c r="V279" t="s">
        <v>20</v>
      </c>
      <c r="W279">
        <v>5</v>
      </c>
    </row>
    <row r="280" spans="1:23" hidden="1" x14ac:dyDescent="0.3">
      <c r="A280" t="s">
        <v>500</v>
      </c>
      <c r="B280" s="2">
        <v>46071</v>
      </c>
      <c r="C280" s="2" t="str">
        <v>Feb</v>
      </c>
      <c r="D280" t="s">
        <v>266</v>
      </c>
      <c r="E280" t="s">
        <v>80</v>
      </c>
      <c r="F280" t="str">
        <f>TRIM(E280)</f>
        <v>Varun</v>
      </c>
      <c r="G280" t="s">
        <v>24</v>
      </c>
      <c r="H280">
        <v>35</v>
      </c>
      <c r="I280" t="str">
        <f t="shared" si="4"/>
        <v>Chandigarh</v>
      </c>
      <c r="J280" t="s">
        <v>190</v>
      </c>
      <c r="K280">
        <f ca="1"/>
        <v>54</v>
      </c>
      <c r="N280" t="s">
        <v>55</v>
      </c>
      <c r="O280">
        <v>3</v>
      </c>
      <c r="P280">
        <v>2900</v>
      </c>
      <c r="Q280">
        <v>15</v>
      </c>
      <c r="R280">
        <f>O280*P280</f>
        <v>8700</v>
      </c>
      <c r="S280" t="s">
        <v>19</v>
      </c>
      <c r="T280" t="str">
        <f>TRIM(S280)</f>
        <v>UPI</v>
      </c>
      <c r="U280">
        <v>200</v>
      </c>
      <c r="V280" t="s">
        <v>20</v>
      </c>
      <c r="W280">
        <v>3</v>
      </c>
    </row>
    <row r="281" spans="1:23" hidden="1" x14ac:dyDescent="0.3">
      <c r="A281" t="s">
        <v>501</v>
      </c>
      <c r="B281" s="2">
        <v>46188</v>
      </c>
      <c r="C281" s="2" t="str">
        <v>Jun</v>
      </c>
      <c r="D281" t="s">
        <v>502</v>
      </c>
      <c r="E281" t="s">
        <v>80</v>
      </c>
      <c r="F281" t="str">
        <f>TRIM(E281)</f>
        <v>Varun</v>
      </c>
      <c r="G281" t="s">
        <v>40</v>
      </c>
      <c r="H281">
        <v>69</v>
      </c>
      <c r="I281" t="str">
        <f t="shared" si="4"/>
        <v>Gurugram</v>
      </c>
      <c r="J281" t="s">
        <v>17</v>
      </c>
      <c r="K281">
        <f ca="1"/>
        <v>55</v>
      </c>
      <c r="N281" t="s">
        <v>18</v>
      </c>
      <c r="O281">
        <v>2</v>
      </c>
      <c r="P281">
        <v>46025</v>
      </c>
      <c r="Q281">
        <v>0</v>
      </c>
      <c r="R281">
        <f>O281*P281</f>
        <v>92050</v>
      </c>
      <c r="S281" t="s">
        <v>19</v>
      </c>
      <c r="T281" t="str">
        <f>TRIM(S281)</f>
        <v>UPI</v>
      </c>
      <c r="U281">
        <v>200</v>
      </c>
      <c r="V281" t="s">
        <v>20</v>
      </c>
      <c r="W281">
        <v>3</v>
      </c>
    </row>
    <row r="282" spans="1:23" hidden="1" x14ac:dyDescent="0.3">
      <c r="A282" t="s">
        <v>503</v>
      </c>
      <c r="B282" s="2">
        <v>46068</v>
      </c>
      <c r="C282" s="2" t="str">
        <v>Feb</v>
      </c>
      <c r="D282" t="s">
        <v>415</v>
      </c>
      <c r="E282" t="s">
        <v>61</v>
      </c>
      <c r="F282" t="str">
        <f>TRIM(E282)</f>
        <v>Nikhil</v>
      </c>
      <c r="G282" t="s">
        <v>40</v>
      </c>
      <c r="H282">
        <v>69</v>
      </c>
      <c r="I282" t="str">
        <f t="shared" si="4"/>
        <v>Gurugram</v>
      </c>
      <c r="J282" t="s">
        <v>17</v>
      </c>
      <c r="K282">
        <f ca="1"/>
        <v>55</v>
      </c>
      <c r="N282" t="s">
        <v>18</v>
      </c>
      <c r="O282">
        <v>1</v>
      </c>
      <c r="P282">
        <v>13751</v>
      </c>
      <c r="Q282">
        <v>0</v>
      </c>
      <c r="R282">
        <f>O282*P282</f>
        <v>13751</v>
      </c>
      <c r="S282" t="s">
        <v>56</v>
      </c>
      <c r="T282" t="str">
        <f>TRIM(S282)</f>
        <v>COD</v>
      </c>
      <c r="U282">
        <v>129</v>
      </c>
      <c r="V282" t="s">
        <v>139</v>
      </c>
      <c r="W282">
        <v>4</v>
      </c>
    </row>
    <row r="283" spans="1:23" hidden="1" x14ac:dyDescent="0.3">
      <c r="A283" t="s">
        <v>504</v>
      </c>
      <c r="B283" s="2">
        <v>46092</v>
      </c>
      <c r="C283" s="2" t="str">
        <v>Mar</v>
      </c>
      <c r="D283" t="s">
        <v>160</v>
      </c>
      <c r="E283" t="s">
        <v>161</v>
      </c>
      <c r="F283" t="str">
        <f>TRIM(E283)</f>
        <v>Ananya</v>
      </c>
      <c r="G283" t="s">
        <v>36</v>
      </c>
      <c r="H283">
        <v>73</v>
      </c>
      <c r="I283" t="str">
        <f t="shared" si="4"/>
        <v>Delhi</v>
      </c>
      <c r="J283" t="s">
        <v>141</v>
      </c>
      <c r="K283">
        <f ca="1"/>
        <v>34</v>
      </c>
      <c r="N283" t="s">
        <v>50</v>
      </c>
      <c r="O283">
        <v>1</v>
      </c>
      <c r="P283">
        <v>1395</v>
      </c>
      <c r="Q283">
        <v>25</v>
      </c>
      <c r="R283">
        <f>O283*P283</f>
        <v>1395</v>
      </c>
      <c r="S283" t="s">
        <v>27</v>
      </c>
      <c r="T283" t="str">
        <f>TRIM(S283)</f>
        <v>Card</v>
      </c>
      <c r="U283">
        <v>135</v>
      </c>
      <c r="V283" t="s">
        <v>20</v>
      </c>
      <c r="W283">
        <v>4</v>
      </c>
    </row>
    <row r="284" spans="1:23" hidden="1" x14ac:dyDescent="0.3">
      <c r="A284" t="s">
        <v>505</v>
      </c>
      <c r="B284" s="2">
        <v>46111</v>
      </c>
      <c r="C284" s="2" t="str">
        <v>Mar</v>
      </c>
      <c r="D284" t="s">
        <v>389</v>
      </c>
      <c r="E284" t="s">
        <v>43</v>
      </c>
      <c r="F284" t="str">
        <f>TRIM(E284)</f>
        <v>Aarav</v>
      </c>
      <c r="G284" t="s">
        <v>65</v>
      </c>
      <c r="H284">
        <v>36</v>
      </c>
      <c r="I284" t="str">
        <f t="shared" si="4"/>
        <v>Jaipur</v>
      </c>
      <c r="J284" t="s">
        <v>90</v>
      </c>
      <c r="K284">
        <f ca="1"/>
        <v>41</v>
      </c>
      <c r="N284" t="s">
        <v>18</v>
      </c>
      <c r="O284">
        <v>1</v>
      </c>
      <c r="P284">
        <v>46025</v>
      </c>
      <c r="Q284">
        <v>15</v>
      </c>
      <c r="R284">
        <f>O284*P284</f>
        <v>46025</v>
      </c>
      <c r="S284" t="s">
        <v>56</v>
      </c>
      <c r="T284" t="str">
        <f>TRIM(S284)</f>
        <v>COD</v>
      </c>
      <c r="U284">
        <v>129</v>
      </c>
      <c r="V284" t="s">
        <v>20</v>
      </c>
      <c r="W284">
        <v>2</v>
      </c>
    </row>
    <row r="285" spans="1:23" hidden="1" x14ac:dyDescent="0.3">
      <c r="A285" t="s">
        <v>506</v>
      </c>
      <c r="B285" s="2">
        <v>46184</v>
      </c>
      <c r="C285" s="2" t="str">
        <v>Jun</v>
      </c>
      <c r="D285" t="s">
        <v>64</v>
      </c>
      <c r="E285" t="s">
        <v>39</v>
      </c>
      <c r="F285" t="str">
        <f>TRIM(E285)</f>
        <v>Aman</v>
      </c>
      <c r="G285" t="s">
        <v>81</v>
      </c>
      <c r="H285">
        <v>35</v>
      </c>
      <c r="I285" t="str">
        <f t="shared" si="4"/>
        <v>Faridabad</v>
      </c>
      <c r="J285" t="s">
        <v>32</v>
      </c>
      <c r="K285">
        <f ca="1"/>
        <v>36</v>
      </c>
      <c r="N285" t="s">
        <v>18</v>
      </c>
      <c r="O285">
        <v>1</v>
      </c>
      <c r="P285">
        <v>26302</v>
      </c>
      <c r="Q285">
        <v>10</v>
      </c>
      <c r="R285">
        <f>O285*P285</f>
        <v>26302</v>
      </c>
      <c r="S285" t="s">
        <v>56</v>
      </c>
      <c r="T285" t="str">
        <f>TRIM(S285)</f>
        <v>COD</v>
      </c>
      <c r="U285">
        <v>129</v>
      </c>
      <c r="V285" t="s">
        <v>139</v>
      </c>
      <c r="W285">
        <v>6</v>
      </c>
    </row>
    <row r="286" spans="1:23" hidden="1" x14ac:dyDescent="0.3">
      <c r="A286" t="s">
        <v>507</v>
      </c>
      <c r="B286" s="2">
        <v>46115</v>
      </c>
      <c r="C286" s="2" t="str">
        <v>Apr</v>
      </c>
      <c r="D286" t="s">
        <v>508</v>
      </c>
      <c r="E286" t="s">
        <v>39</v>
      </c>
      <c r="F286" t="str">
        <f>TRIM(E286)</f>
        <v>Aman</v>
      </c>
      <c r="G286" t="s">
        <v>40</v>
      </c>
      <c r="H286">
        <v>69</v>
      </c>
      <c r="I286" t="str">
        <f t="shared" si="4"/>
        <v>Gurugram</v>
      </c>
      <c r="J286" t="s">
        <v>90</v>
      </c>
      <c r="K286">
        <f ca="1"/>
        <v>41</v>
      </c>
      <c r="N286" t="s">
        <v>18</v>
      </c>
      <c r="O286">
        <v>1</v>
      </c>
      <c r="P286">
        <v>6579</v>
      </c>
      <c r="Q286">
        <v>20</v>
      </c>
      <c r="R286">
        <f>O286*P286</f>
        <v>6579</v>
      </c>
      <c r="S286" t="s">
        <v>19</v>
      </c>
      <c r="T286" t="str">
        <f>TRIM(S286)</f>
        <v>UPI</v>
      </c>
      <c r="U286">
        <v>200</v>
      </c>
      <c r="V286" t="s">
        <v>20</v>
      </c>
      <c r="W286">
        <v>3</v>
      </c>
    </row>
    <row r="287" spans="1:23" hidden="1" x14ac:dyDescent="0.3">
      <c r="A287" t="s">
        <v>509</v>
      </c>
      <c r="B287" s="2">
        <v>46077</v>
      </c>
      <c r="C287" s="2" t="str">
        <v>Feb</v>
      </c>
      <c r="D287" t="s">
        <v>510</v>
      </c>
      <c r="E287" t="s">
        <v>23</v>
      </c>
      <c r="F287" t="str">
        <f>TRIM(E287)</f>
        <v>Pooja</v>
      </c>
      <c r="G287" t="s">
        <v>81</v>
      </c>
      <c r="H287">
        <v>35</v>
      </c>
      <c r="I287" t="str">
        <f t="shared" si="4"/>
        <v>Faridabad</v>
      </c>
      <c r="J287" t="s">
        <v>17</v>
      </c>
      <c r="K287">
        <f ca="1"/>
        <v>55</v>
      </c>
      <c r="N287" t="s">
        <v>18</v>
      </c>
      <c r="O287">
        <v>1</v>
      </c>
      <c r="P287">
        <v>47818</v>
      </c>
      <c r="Q287">
        <v>10</v>
      </c>
      <c r="R287">
        <f>O287*P287</f>
        <v>47818</v>
      </c>
      <c r="S287" t="s">
        <v>27</v>
      </c>
      <c r="T287" t="str">
        <f>TRIM(S287)</f>
        <v>Card</v>
      </c>
      <c r="U287">
        <v>135</v>
      </c>
      <c r="V287" t="s">
        <v>20</v>
      </c>
      <c r="W287">
        <v>2</v>
      </c>
    </row>
    <row r="288" spans="1:23" hidden="1" x14ac:dyDescent="0.3">
      <c r="A288" t="s">
        <v>511</v>
      </c>
      <c r="B288" s="2">
        <v>46177</v>
      </c>
      <c r="C288" s="2" t="str">
        <v>Jun</v>
      </c>
      <c r="D288" t="s">
        <v>512</v>
      </c>
      <c r="E288" t="s">
        <v>15</v>
      </c>
      <c r="F288" t="str">
        <f>TRIM(E288)</f>
        <v>Aditya</v>
      </c>
      <c r="G288" t="s">
        <v>24</v>
      </c>
      <c r="H288">
        <v>35</v>
      </c>
      <c r="I288" t="str">
        <f t="shared" si="4"/>
        <v>Chandigarh</v>
      </c>
      <c r="J288" t="s">
        <v>127</v>
      </c>
      <c r="K288">
        <f ca="1"/>
        <v>41</v>
      </c>
      <c r="N288" t="s">
        <v>55</v>
      </c>
      <c r="O288">
        <v>1</v>
      </c>
      <c r="P288">
        <v>3300</v>
      </c>
      <c r="Q288">
        <v>10</v>
      </c>
      <c r="R288">
        <f>O288*P288</f>
        <v>3300</v>
      </c>
      <c r="S288" t="s">
        <v>19</v>
      </c>
      <c r="T288" t="str">
        <f>TRIM(S288)</f>
        <v>UPI</v>
      </c>
      <c r="U288">
        <v>200</v>
      </c>
      <c r="V288" t="s">
        <v>20</v>
      </c>
      <c r="W288">
        <v>4</v>
      </c>
    </row>
    <row r="289" spans="1:23" hidden="1" x14ac:dyDescent="0.3">
      <c r="A289" t="s">
        <v>513</v>
      </c>
      <c r="B289" s="2">
        <v>46039</v>
      </c>
      <c r="C289" s="2" t="str">
        <v>Jan</v>
      </c>
      <c r="D289" t="s">
        <v>246</v>
      </c>
      <c r="E289" t="s">
        <v>23</v>
      </c>
      <c r="F289" t="str">
        <f>TRIM(E289)</f>
        <v>Pooja</v>
      </c>
      <c r="G289" t="s">
        <v>16</v>
      </c>
      <c r="H289">
        <v>49</v>
      </c>
      <c r="I289" t="str">
        <f t="shared" si="4"/>
        <v>Lucknow</v>
      </c>
      <c r="J289" t="s">
        <v>190</v>
      </c>
      <c r="K289">
        <f ca="1"/>
        <v>54</v>
      </c>
      <c r="N289" t="s">
        <v>55</v>
      </c>
      <c r="O289">
        <v>1</v>
      </c>
      <c r="P289">
        <v>2500</v>
      </c>
      <c r="Q289">
        <v>10</v>
      </c>
      <c r="R289">
        <f>O289*P289</f>
        <v>2500</v>
      </c>
      <c r="S289" t="s">
        <v>19</v>
      </c>
      <c r="T289" t="str">
        <f>TRIM(S289)</f>
        <v>UPI</v>
      </c>
      <c r="U289">
        <v>200</v>
      </c>
      <c r="V289" t="s">
        <v>20</v>
      </c>
      <c r="W289">
        <v>4</v>
      </c>
    </row>
    <row r="290" spans="1:23" hidden="1" x14ac:dyDescent="0.3">
      <c r="A290" t="s">
        <v>514</v>
      </c>
      <c r="B290" s="2">
        <v>46170</v>
      </c>
      <c r="C290" s="2" t="str">
        <v>May</v>
      </c>
      <c r="D290" t="s">
        <v>205</v>
      </c>
      <c r="E290" t="s">
        <v>98</v>
      </c>
      <c r="F290" t="str">
        <f>TRIM(E290)</f>
        <v>Meera</v>
      </c>
      <c r="G290" t="s">
        <v>36</v>
      </c>
      <c r="H290">
        <v>73</v>
      </c>
      <c r="I290" t="str">
        <f t="shared" si="4"/>
        <v>Delhi</v>
      </c>
      <c r="J290" t="s">
        <v>62</v>
      </c>
      <c r="K290">
        <f ca="1"/>
        <v>33</v>
      </c>
      <c r="N290" t="s">
        <v>50</v>
      </c>
      <c r="O290">
        <v>1</v>
      </c>
      <c r="P290">
        <v>884</v>
      </c>
      <c r="Q290">
        <v>0</v>
      </c>
      <c r="R290">
        <f>O290*P290</f>
        <v>884</v>
      </c>
      <c r="S290" t="s">
        <v>19</v>
      </c>
      <c r="T290" t="str">
        <f>TRIM(S290)</f>
        <v>UPI</v>
      </c>
      <c r="U290">
        <v>200</v>
      </c>
      <c r="V290" t="s">
        <v>20</v>
      </c>
      <c r="W290">
        <v>1</v>
      </c>
    </row>
    <row r="291" spans="1:23" hidden="1" x14ac:dyDescent="0.3">
      <c r="A291" t="s">
        <v>515</v>
      </c>
      <c r="B291" s="2">
        <v>46171</v>
      </c>
      <c r="C291" s="2" t="str">
        <v>May</v>
      </c>
      <c r="D291" t="s">
        <v>179</v>
      </c>
      <c r="E291" t="s">
        <v>23</v>
      </c>
      <c r="F291" t="str">
        <f>TRIM(E291)</f>
        <v>Pooja</v>
      </c>
      <c r="G291" t="s">
        <v>40</v>
      </c>
      <c r="H291">
        <v>69</v>
      </c>
      <c r="I291" t="str">
        <f t="shared" si="4"/>
        <v>Gurugram</v>
      </c>
      <c r="J291" t="s">
        <v>383</v>
      </c>
      <c r="K291">
        <f ca="1"/>
        <v>18</v>
      </c>
      <c r="N291" t="s">
        <v>26</v>
      </c>
      <c r="O291">
        <v>1</v>
      </c>
      <c r="P291">
        <v>862</v>
      </c>
      <c r="Q291">
        <v>20</v>
      </c>
      <c r="R291">
        <f>O291*P291</f>
        <v>862</v>
      </c>
      <c r="S291" t="s">
        <v>91</v>
      </c>
      <c r="T291" t="str">
        <f>TRIM(S291)</f>
        <v>Net Banking</v>
      </c>
      <c r="U291">
        <v>36</v>
      </c>
      <c r="V291" t="s">
        <v>46</v>
      </c>
      <c r="W291">
        <v>0</v>
      </c>
    </row>
    <row r="292" spans="1:23" hidden="1" x14ac:dyDescent="0.3">
      <c r="A292" t="s">
        <v>516</v>
      </c>
      <c r="B292" s="2">
        <v>46154</v>
      </c>
      <c r="C292" s="2" t="str">
        <v>May</v>
      </c>
      <c r="D292" t="s">
        <v>163</v>
      </c>
      <c r="E292" t="s">
        <v>39</v>
      </c>
      <c r="F292" t="str">
        <f>TRIM(E292)</f>
        <v>Aman</v>
      </c>
      <c r="G292" t="s">
        <v>16</v>
      </c>
      <c r="H292">
        <v>49</v>
      </c>
      <c r="I292" t="str">
        <f t="shared" si="4"/>
        <v>Lucknow</v>
      </c>
      <c r="J292" t="s">
        <v>44</v>
      </c>
      <c r="K292">
        <f ca="1"/>
        <v>29</v>
      </c>
      <c r="N292" t="s">
        <v>45</v>
      </c>
      <c r="O292">
        <v>1</v>
      </c>
      <c r="P292">
        <v>1100</v>
      </c>
      <c r="Q292">
        <v>5</v>
      </c>
      <c r="R292">
        <f>O292*P292</f>
        <v>1100</v>
      </c>
      <c r="S292" t="s">
        <v>19</v>
      </c>
      <c r="T292" t="str">
        <f>TRIM(S292)</f>
        <v>UPI</v>
      </c>
      <c r="U292">
        <v>200</v>
      </c>
      <c r="V292" t="s">
        <v>20</v>
      </c>
      <c r="W292">
        <v>4</v>
      </c>
    </row>
    <row r="293" spans="1:23" hidden="1" x14ac:dyDescent="0.3">
      <c r="A293" t="s">
        <v>517</v>
      </c>
      <c r="B293" s="2">
        <v>46178</v>
      </c>
      <c r="C293" s="2" t="str">
        <v>Jun</v>
      </c>
      <c r="D293" t="s">
        <v>104</v>
      </c>
      <c r="E293" t="s">
        <v>35</v>
      </c>
      <c r="F293" t="str">
        <f>TRIM(E293)</f>
        <v>Rohan</v>
      </c>
      <c r="G293" t="s">
        <v>117</v>
      </c>
      <c r="H293">
        <v>40</v>
      </c>
      <c r="I293" t="str">
        <f t="shared" si="4"/>
        <v>Ghaziabad</v>
      </c>
      <c r="J293" t="s">
        <v>124</v>
      </c>
      <c r="K293">
        <f ca="1"/>
        <v>44</v>
      </c>
      <c r="N293" t="s">
        <v>55</v>
      </c>
      <c r="O293">
        <v>2</v>
      </c>
      <c r="P293">
        <v>1900</v>
      </c>
      <c r="Q293">
        <v>10</v>
      </c>
      <c r="R293">
        <f>O293*P293</f>
        <v>3800</v>
      </c>
      <c r="S293" t="s">
        <v>19</v>
      </c>
      <c r="T293" t="str">
        <f>TRIM(S293)</f>
        <v>UPI</v>
      </c>
      <c r="U293">
        <v>200</v>
      </c>
      <c r="V293" t="s">
        <v>20</v>
      </c>
      <c r="W293">
        <v>4</v>
      </c>
    </row>
    <row r="294" spans="1:23" hidden="1" x14ac:dyDescent="0.3">
      <c r="A294" t="s">
        <v>518</v>
      </c>
      <c r="B294" s="2">
        <v>46089</v>
      </c>
      <c r="C294" s="2" t="str">
        <v>Mar</v>
      </c>
      <c r="D294" t="s">
        <v>519</v>
      </c>
      <c r="E294" t="s">
        <v>23</v>
      </c>
      <c r="F294" t="str">
        <f>TRIM(E294)</f>
        <v>Pooja</v>
      </c>
      <c r="G294" t="s">
        <v>40</v>
      </c>
      <c r="H294">
        <v>69</v>
      </c>
      <c r="I294" t="str">
        <f t="shared" si="4"/>
        <v>Gurugram</v>
      </c>
      <c r="J294" t="s">
        <v>131</v>
      </c>
      <c r="K294">
        <f ca="1"/>
        <v>27</v>
      </c>
      <c r="N294" t="s">
        <v>55</v>
      </c>
      <c r="O294">
        <v>1</v>
      </c>
      <c r="P294">
        <v>2800</v>
      </c>
      <c r="Q294">
        <v>20</v>
      </c>
      <c r="R294">
        <f>O294*P294</f>
        <v>2800</v>
      </c>
      <c r="S294" t="s">
        <v>19</v>
      </c>
      <c r="T294" t="str">
        <f>TRIM(S294)</f>
        <v>UPI</v>
      </c>
      <c r="U294">
        <v>200</v>
      </c>
      <c r="V294" t="s">
        <v>20</v>
      </c>
      <c r="W294">
        <v>6</v>
      </c>
    </row>
    <row r="295" spans="1:23" hidden="1" x14ac:dyDescent="0.3">
      <c r="A295" t="s">
        <v>520</v>
      </c>
      <c r="B295" s="2">
        <v>46079</v>
      </c>
      <c r="C295" s="2" t="str">
        <v>Feb</v>
      </c>
      <c r="D295" t="s">
        <v>519</v>
      </c>
      <c r="E295" t="s">
        <v>23</v>
      </c>
      <c r="F295" t="str">
        <f>TRIM(E295)</f>
        <v>Pooja</v>
      </c>
      <c r="G295" t="s">
        <v>117</v>
      </c>
      <c r="H295">
        <v>40</v>
      </c>
      <c r="I295" t="str">
        <f t="shared" si="4"/>
        <v>Ghaziabad</v>
      </c>
      <c r="J295" t="s">
        <v>17</v>
      </c>
      <c r="K295">
        <f ca="1"/>
        <v>55</v>
      </c>
      <c r="N295" t="s">
        <v>18</v>
      </c>
      <c r="O295">
        <v>4</v>
      </c>
      <c r="P295">
        <v>44232</v>
      </c>
      <c r="Q295">
        <v>5</v>
      </c>
      <c r="R295">
        <f>O295*P295</f>
        <v>176928</v>
      </c>
      <c r="S295" t="s">
        <v>19</v>
      </c>
      <c r="T295" t="str">
        <f>TRIM(S295)</f>
        <v>UPI</v>
      </c>
      <c r="U295">
        <v>200</v>
      </c>
      <c r="V295" t="s">
        <v>20</v>
      </c>
      <c r="W295">
        <v>4</v>
      </c>
    </row>
    <row r="296" spans="1:23" hidden="1" x14ac:dyDescent="0.3">
      <c r="A296" t="s">
        <v>521</v>
      </c>
      <c r="B296" s="2">
        <v>46163</v>
      </c>
      <c r="C296" s="2" t="str">
        <v>May</v>
      </c>
      <c r="D296" t="s">
        <v>183</v>
      </c>
      <c r="E296" t="s">
        <v>184</v>
      </c>
      <c r="F296" t="str">
        <f>TRIM(E296)</f>
        <v>Kavya</v>
      </c>
      <c r="G296" t="s">
        <v>40</v>
      </c>
      <c r="H296">
        <v>69</v>
      </c>
      <c r="I296" t="str">
        <f t="shared" si="4"/>
        <v>Gurugram</v>
      </c>
      <c r="J296" t="s">
        <v>131</v>
      </c>
      <c r="K296">
        <f ca="1"/>
        <v>27</v>
      </c>
      <c r="N296" t="s">
        <v>55</v>
      </c>
      <c r="O296">
        <v>1</v>
      </c>
      <c r="P296">
        <v>2900</v>
      </c>
      <c r="Q296">
        <v>5</v>
      </c>
      <c r="R296">
        <f>O296*P296</f>
        <v>2900</v>
      </c>
      <c r="S296" t="s">
        <v>19</v>
      </c>
      <c r="T296" t="str">
        <f>TRIM(S296)</f>
        <v>UPI</v>
      </c>
      <c r="U296">
        <v>200</v>
      </c>
      <c r="V296" t="s">
        <v>20</v>
      </c>
      <c r="W296">
        <v>3</v>
      </c>
    </row>
    <row r="297" spans="1:23" hidden="1" x14ac:dyDescent="0.3">
      <c r="A297" t="s">
        <v>522</v>
      </c>
      <c r="B297" s="2">
        <v>46140</v>
      </c>
      <c r="C297" s="2" t="str">
        <v>Apr</v>
      </c>
      <c r="D297" t="s">
        <v>510</v>
      </c>
      <c r="E297" t="s">
        <v>23</v>
      </c>
      <c r="F297" t="str">
        <f>TRIM(E297)</f>
        <v>Pooja</v>
      </c>
      <c r="G297" t="s">
        <v>40</v>
      </c>
      <c r="H297">
        <v>69</v>
      </c>
      <c r="I297" t="str">
        <f t="shared" si="4"/>
        <v>Gurugram</v>
      </c>
      <c r="J297" t="s">
        <v>17</v>
      </c>
      <c r="K297">
        <f ca="1"/>
        <v>55</v>
      </c>
      <c r="N297" t="s">
        <v>18</v>
      </c>
      <c r="O297">
        <v>1</v>
      </c>
      <c r="P297">
        <v>38853</v>
      </c>
      <c r="Q297">
        <v>10</v>
      </c>
      <c r="R297">
        <f>O297*P297</f>
        <v>38853</v>
      </c>
      <c r="S297" t="s">
        <v>19</v>
      </c>
      <c r="T297" t="str">
        <f>TRIM(S297)</f>
        <v>UPI</v>
      </c>
      <c r="U297">
        <v>200</v>
      </c>
      <c r="V297" t="s">
        <v>20</v>
      </c>
      <c r="W297">
        <v>2</v>
      </c>
    </row>
    <row r="298" spans="1:23" hidden="1" x14ac:dyDescent="0.3">
      <c r="A298" t="s">
        <v>523</v>
      </c>
      <c r="B298" s="2">
        <v>46161</v>
      </c>
      <c r="C298" s="2" t="str">
        <v>May</v>
      </c>
      <c r="D298" t="s">
        <v>434</v>
      </c>
      <c r="E298" t="s">
        <v>109</v>
      </c>
      <c r="F298" t="str">
        <f>TRIM(E298)</f>
        <v>Neha</v>
      </c>
      <c r="G298" t="s">
        <v>117</v>
      </c>
      <c r="H298">
        <v>40</v>
      </c>
      <c r="I298" t="str">
        <f t="shared" si="4"/>
        <v>Ghaziabad</v>
      </c>
      <c r="J298" t="s">
        <v>127</v>
      </c>
      <c r="K298">
        <f ca="1"/>
        <v>41</v>
      </c>
      <c r="N298" t="s">
        <v>55</v>
      </c>
      <c r="O298">
        <v>3</v>
      </c>
      <c r="P298">
        <v>800</v>
      </c>
      <c r="Q298">
        <v>10</v>
      </c>
      <c r="R298">
        <f>O298*P298</f>
        <v>2400</v>
      </c>
      <c r="S298" t="s">
        <v>19</v>
      </c>
      <c r="T298" t="str">
        <f>TRIM(S298)</f>
        <v>UPI</v>
      </c>
      <c r="U298">
        <v>200</v>
      </c>
      <c r="V298" t="s">
        <v>20</v>
      </c>
      <c r="W298">
        <v>5</v>
      </c>
    </row>
    <row r="299" spans="1:23" x14ac:dyDescent="0.3">
      <c r="A299" t="s">
        <v>524</v>
      </c>
      <c r="B299" s="2">
        <v>46073</v>
      </c>
      <c r="C299" s="2" t="str">
        <v>Feb</v>
      </c>
      <c r="D299" t="s">
        <v>519</v>
      </c>
      <c r="E299" t="s">
        <v>23</v>
      </c>
      <c r="F299" t="str">
        <f>TRIM(E299)</f>
        <v>Pooja</v>
      </c>
      <c r="G299" t="s">
        <v>31</v>
      </c>
      <c r="H299">
        <v>64</v>
      </c>
      <c r="I299" t="str">
        <f t="shared" si="4"/>
        <v>Noida</v>
      </c>
      <c r="J299" t="s">
        <v>44</v>
      </c>
      <c r="K299">
        <f ca="1"/>
        <v>29</v>
      </c>
      <c r="N299" t="s">
        <v>45</v>
      </c>
      <c r="O299">
        <v>1</v>
      </c>
      <c r="P299">
        <v>500</v>
      </c>
      <c r="Q299">
        <v>0</v>
      </c>
      <c r="R299">
        <f>O299*P299</f>
        <v>500</v>
      </c>
      <c r="S299" t="s">
        <v>56</v>
      </c>
      <c r="T299" t="str">
        <f>TRIM(S299)</f>
        <v>COD</v>
      </c>
      <c r="U299">
        <v>129</v>
      </c>
      <c r="V299" t="s">
        <v>20</v>
      </c>
      <c r="W299">
        <v>1</v>
      </c>
    </row>
    <row r="300" spans="1:23" x14ac:dyDescent="0.3">
      <c r="A300" t="s">
        <v>525</v>
      </c>
      <c r="B300" s="2">
        <v>46095</v>
      </c>
      <c r="C300" s="2" t="str">
        <v>Mar</v>
      </c>
      <c r="D300" t="s">
        <v>434</v>
      </c>
      <c r="E300" t="s">
        <v>109</v>
      </c>
      <c r="F300" t="str">
        <f>TRIM(E300)</f>
        <v>Neha</v>
      </c>
      <c r="G300" t="s">
        <v>31</v>
      </c>
      <c r="H300">
        <v>64</v>
      </c>
      <c r="I300" t="str">
        <f t="shared" si="4"/>
        <v>Noida</v>
      </c>
      <c r="J300" t="s">
        <v>190</v>
      </c>
      <c r="K300">
        <f ca="1"/>
        <v>54</v>
      </c>
      <c r="N300" t="s">
        <v>55</v>
      </c>
      <c r="O300">
        <v>2</v>
      </c>
      <c r="P300">
        <v>2500</v>
      </c>
      <c r="Q300">
        <v>15</v>
      </c>
      <c r="R300">
        <f>O300*P300</f>
        <v>5000</v>
      </c>
      <c r="S300" t="s">
        <v>56</v>
      </c>
      <c r="T300" t="str">
        <f>TRIM(S300)</f>
        <v>COD</v>
      </c>
      <c r="U300">
        <v>129</v>
      </c>
      <c r="V300" t="s">
        <v>20</v>
      </c>
      <c r="W300">
        <v>4</v>
      </c>
    </row>
    <row r="301" spans="1:23" x14ac:dyDescent="0.3">
      <c r="A301" t="s">
        <v>526</v>
      </c>
      <c r="B301" s="2">
        <v>46103</v>
      </c>
      <c r="C301" s="2" t="str">
        <v>Mar</v>
      </c>
      <c r="D301" t="s">
        <v>527</v>
      </c>
      <c r="E301" t="s">
        <v>231</v>
      </c>
      <c r="F301" t="str">
        <f>TRIM(E301)</f>
        <v>Vivek</v>
      </c>
      <c r="G301" t="s">
        <v>31</v>
      </c>
      <c r="H301">
        <v>64</v>
      </c>
      <c r="I301" t="str">
        <f t="shared" si="4"/>
        <v>Noida</v>
      </c>
      <c r="J301" t="s">
        <v>32</v>
      </c>
      <c r="K301">
        <f ca="1"/>
        <v>36</v>
      </c>
      <c r="N301" t="s">
        <v>18</v>
      </c>
      <c r="O301">
        <v>1</v>
      </c>
      <c r="P301">
        <v>31681</v>
      </c>
      <c r="Q301">
        <v>15</v>
      </c>
      <c r="R301">
        <f>O301*P301</f>
        <v>31681</v>
      </c>
      <c r="S301" t="s">
        <v>19</v>
      </c>
      <c r="T301" t="str">
        <f>TRIM(S301)</f>
        <v>UPI</v>
      </c>
      <c r="U301">
        <v>200</v>
      </c>
      <c r="V301" t="s">
        <v>20</v>
      </c>
      <c r="W301">
        <v>5</v>
      </c>
    </row>
    <row r="302" spans="1:23" hidden="1" x14ac:dyDescent="0.3">
      <c r="A302" t="s">
        <v>528</v>
      </c>
      <c r="B302" s="2">
        <v>46081</v>
      </c>
      <c r="C302" s="2" t="str">
        <v>Feb</v>
      </c>
      <c r="D302" t="s">
        <v>275</v>
      </c>
      <c r="E302" t="s">
        <v>75</v>
      </c>
      <c r="F302" t="str">
        <f>TRIM(E302)</f>
        <v>Sneha</v>
      </c>
      <c r="G302" t="s">
        <v>40</v>
      </c>
      <c r="H302">
        <v>69</v>
      </c>
      <c r="I302" t="str">
        <f t="shared" si="4"/>
        <v>Gurugram</v>
      </c>
      <c r="J302" t="s">
        <v>68</v>
      </c>
      <c r="K302">
        <f ca="1"/>
        <v>23</v>
      </c>
      <c r="N302" t="s">
        <v>26</v>
      </c>
      <c r="O302">
        <v>1</v>
      </c>
      <c r="P302">
        <v>1066</v>
      </c>
      <c r="Q302">
        <v>5</v>
      </c>
      <c r="R302">
        <f>O302*P302</f>
        <v>1066</v>
      </c>
      <c r="S302" t="s">
        <v>19</v>
      </c>
      <c r="T302" t="str">
        <f>TRIM(S302)</f>
        <v>UPI</v>
      </c>
      <c r="U302">
        <v>200</v>
      </c>
      <c r="V302" t="s">
        <v>20</v>
      </c>
      <c r="W302">
        <v>3</v>
      </c>
    </row>
    <row r="303" spans="1:23" hidden="1" x14ac:dyDescent="0.3">
      <c r="A303" t="s">
        <v>529</v>
      </c>
      <c r="B303" s="2">
        <v>46086</v>
      </c>
      <c r="C303" s="2" t="str">
        <v>Mar</v>
      </c>
      <c r="D303" t="s">
        <v>230</v>
      </c>
      <c r="E303" t="s">
        <v>231</v>
      </c>
      <c r="F303" t="str">
        <f>TRIM(E303)</f>
        <v>Vivek</v>
      </c>
      <c r="G303" t="s">
        <v>81</v>
      </c>
      <c r="H303">
        <v>35</v>
      </c>
      <c r="I303" t="str">
        <f t="shared" si="4"/>
        <v>Faridabad</v>
      </c>
      <c r="J303" t="s">
        <v>85</v>
      </c>
      <c r="K303">
        <f ca="1"/>
        <v>30</v>
      </c>
      <c r="N303" t="s">
        <v>45</v>
      </c>
      <c r="O303">
        <v>2</v>
      </c>
      <c r="P303">
        <v>650</v>
      </c>
      <c r="Q303">
        <v>0</v>
      </c>
      <c r="R303">
        <f>O303*P303</f>
        <v>1300</v>
      </c>
      <c r="S303" t="s">
        <v>19</v>
      </c>
      <c r="T303" t="str">
        <f>TRIM(S303)</f>
        <v>UPI</v>
      </c>
      <c r="U303">
        <v>200</v>
      </c>
      <c r="V303" t="s">
        <v>20</v>
      </c>
      <c r="W303">
        <v>2</v>
      </c>
    </row>
    <row r="304" spans="1:23" x14ac:dyDescent="0.3">
      <c r="A304" t="s">
        <v>530</v>
      </c>
      <c r="B304" s="2">
        <v>46029</v>
      </c>
      <c r="C304" s="2" t="str">
        <v>Jan</v>
      </c>
      <c r="D304" t="s">
        <v>74</v>
      </c>
      <c r="E304" t="s">
        <v>75</v>
      </c>
      <c r="F304" t="str">
        <f>TRIM(E304)</f>
        <v>Sneha</v>
      </c>
      <c r="G304" t="s">
        <v>31</v>
      </c>
      <c r="H304">
        <v>64</v>
      </c>
      <c r="I304" t="str">
        <f t="shared" si="4"/>
        <v>Noida</v>
      </c>
      <c r="J304" t="s">
        <v>44</v>
      </c>
      <c r="K304">
        <f ca="1"/>
        <v>29</v>
      </c>
      <c r="N304" t="s">
        <v>45</v>
      </c>
      <c r="O304">
        <v>4</v>
      </c>
      <c r="P304">
        <v>900</v>
      </c>
      <c r="Q304">
        <v>10</v>
      </c>
      <c r="R304">
        <f>O304*P304</f>
        <v>3600</v>
      </c>
      <c r="S304" t="s">
        <v>19</v>
      </c>
      <c r="T304" t="str">
        <f>TRIM(S304)</f>
        <v>UPI</v>
      </c>
      <c r="U304">
        <v>200</v>
      </c>
      <c r="V304" t="s">
        <v>20</v>
      </c>
      <c r="W304">
        <v>3</v>
      </c>
    </row>
    <row r="305" spans="1:23" x14ac:dyDescent="0.3">
      <c r="A305" t="s">
        <v>531</v>
      </c>
      <c r="B305" s="2">
        <v>46034</v>
      </c>
      <c r="C305" s="2" t="str">
        <v>Jan</v>
      </c>
      <c r="D305" t="s">
        <v>151</v>
      </c>
      <c r="E305" t="s">
        <v>98</v>
      </c>
      <c r="F305" t="str">
        <f>TRIM(E305)</f>
        <v>Meera</v>
      </c>
      <c r="G305" t="s">
        <v>31</v>
      </c>
      <c r="H305">
        <v>64</v>
      </c>
      <c r="I305" t="str">
        <f t="shared" si="4"/>
        <v>Noida</v>
      </c>
      <c r="J305" t="s">
        <v>54</v>
      </c>
      <c r="K305">
        <f ca="1"/>
        <v>31</v>
      </c>
      <c r="N305" t="s">
        <v>55</v>
      </c>
      <c r="O305">
        <v>1</v>
      </c>
      <c r="P305">
        <v>1600</v>
      </c>
      <c r="Q305">
        <v>5</v>
      </c>
      <c r="R305">
        <f>O305*P305</f>
        <v>1600</v>
      </c>
      <c r="S305" t="s">
        <v>56</v>
      </c>
      <c r="T305" t="str">
        <f>TRIM(S305)</f>
        <v>COD</v>
      </c>
      <c r="U305">
        <v>129</v>
      </c>
      <c r="V305" t="s">
        <v>20</v>
      </c>
      <c r="W305">
        <v>4</v>
      </c>
    </row>
    <row r="306" spans="1:23" hidden="1" x14ac:dyDescent="0.3">
      <c r="A306" t="s">
        <v>532</v>
      </c>
      <c r="B306" s="2">
        <v>46145</v>
      </c>
      <c r="C306" s="2" t="str">
        <v>May</v>
      </c>
      <c r="D306" t="s">
        <v>470</v>
      </c>
      <c r="E306" t="s">
        <v>184</v>
      </c>
      <c r="F306" t="str">
        <f>TRIM(E306)</f>
        <v>Kavya</v>
      </c>
      <c r="G306" t="s">
        <v>36</v>
      </c>
      <c r="H306">
        <v>73</v>
      </c>
      <c r="I306" t="str">
        <f t="shared" si="4"/>
        <v>Delhi</v>
      </c>
      <c r="J306" t="s">
        <v>190</v>
      </c>
      <c r="K306">
        <f ca="1"/>
        <v>54</v>
      </c>
      <c r="N306" t="s">
        <v>55</v>
      </c>
      <c r="O306">
        <v>1</v>
      </c>
      <c r="P306">
        <v>500</v>
      </c>
      <c r="Q306">
        <v>10</v>
      </c>
      <c r="R306">
        <f>O306*P306</f>
        <v>500</v>
      </c>
      <c r="S306" t="s">
        <v>27</v>
      </c>
      <c r="T306" t="str">
        <f>TRIM(S306)</f>
        <v>Card</v>
      </c>
      <c r="U306">
        <v>135</v>
      </c>
      <c r="V306" t="s">
        <v>20</v>
      </c>
      <c r="W306">
        <v>2</v>
      </c>
    </row>
    <row r="307" spans="1:23" hidden="1" x14ac:dyDescent="0.3">
      <c r="A307" t="s">
        <v>533</v>
      </c>
      <c r="B307" s="2">
        <v>46150</v>
      </c>
      <c r="C307" s="2" t="str">
        <v>May</v>
      </c>
      <c r="D307" t="s">
        <v>534</v>
      </c>
      <c r="E307" t="s">
        <v>39</v>
      </c>
      <c r="F307" t="str">
        <f>TRIM(E307)</f>
        <v>Aman</v>
      </c>
      <c r="G307" t="s">
        <v>81</v>
      </c>
      <c r="H307">
        <v>35</v>
      </c>
      <c r="I307" t="str">
        <f t="shared" si="4"/>
        <v>Faridabad</v>
      </c>
      <c r="J307" t="s">
        <v>17</v>
      </c>
      <c r="K307">
        <f ca="1"/>
        <v>55</v>
      </c>
      <c r="N307" t="s">
        <v>18</v>
      </c>
      <c r="O307">
        <v>1</v>
      </c>
      <c r="P307">
        <v>42439</v>
      </c>
      <c r="Q307">
        <v>5</v>
      </c>
      <c r="R307">
        <f>O307*P307</f>
        <v>42439</v>
      </c>
      <c r="S307" t="s">
        <v>91</v>
      </c>
      <c r="T307" t="str">
        <f>TRIM(S307)</f>
        <v>Net Banking</v>
      </c>
      <c r="U307">
        <v>36</v>
      </c>
      <c r="V307" t="s">
        <v>20</v>
      </c>
      <c r="W307">
        <v>2</v>
      </c>
    </row>
    <row r="308" spans="1:23" hidden="1" x14ac:dyDescent="0.3">
      <c r="A308" t="s">
        <v>535</v>
      </c>
      <c r="B308" s="2">
        <v>46080</v>
      </c>
      <c r="C308" s="2" t="str">
        <v>Feb</v>
      </c>
      <c r="D308" t="s">
        <v>248</v>
      </c>
      <c r="E308" t="s">
        <v>30</v>
      </c>
      <c r="F308" t="str">
        <f>TRIM(E308)</f>
        <v>Simran</v>
      </c>
      <c r="G308" t="s">
        <v>36</v>
      </c>
      <c r="H308">
        <v>73</v>
      </c>
      <c r="I308" t="str">
        <f t="shared" si="4"/>
        <v>Delhi</v>
      </c>
      <c r="J308" t="s">
        <v>131</v>
      </c>
      <c r="K308">
        <f ca="1"/>
        <v>27</v>
      </c>
      <c r="N308" t="s">
        <v>55</v>
      </c>
      <c r="O308">
        <v>2</v>
      </c>
      <c r="P308">
        <v>2200</v>
      </c>
      <c r="Q308">
        <v>5</v>
      </c>
      <c r="R308">
        <f>O308*P308</f>
        <v>4400</v>
      </c>
      <c r="S308" t="s">
        <v>19</v>
      </c>
      <c r="T308" t="str">
        <f>TRIM(S308)</f>
        <v>UPI</v>
      </c>
      <c r="U308">
        <v>200</v>
      </c>
      <c r="V308" t="s">
        <v>20</v>
      </c>
      <c r="W308">
        <v>5</v>
      </c>
    </row>
    <row r="309" spans="1:23" hidden="1" x14ac:dyDescent="0.3">
      <c r="A309" t="s">
        <v>536</v>
      </c>
      <c r="B309" s="2">
        <v>46032</v>
      </c>
      <c r="C309" s="2" t="str">
        <v>Jan</v>
      </c>
      <c r="D309" t="s">
        <v>100</v>
      </c>
      <c r="E309" t="s">
        <v>101</v>
      </c>
      <c r="F309" t="str">
        <f>TRIM(E309)</f>
        <v>Arjun</v>
      </c>
      <c r="G309" t="s">
        <v>40</v>
      </c>
      <c r="H309">
        <v>69</v>
      </c>
      <c r="I309" t="str">
        <f t="shared" si="4"/>
        <v>Gurugram</v>
      </c>
      <c r="J309" t="s">
        <v>25</v>
      </c>
      <c r="K309">
        <f ca="1"/>
        <v>20</v>
      </c>
      <c r="N309" t="s">
        <v>26</v>
      </c>
      <c r="O309">
        <v>1</v>
      </c>
      <c r="P309">
        <v>1627</v>
      </c>
      <c r="Q309">
        <v>10</v>
      </c>
      <c r="R309">
        <f>O309*P309</f>
        <v>1627</v>
      </c>
      <c r="S309" t="s">
        <v>19</v>
      </c>
      <c r="T309" t="str">
        <f>TRIM(S309)</f>
        <v>UPI</v>
      </c>
      <c r="U309">
        <v>200</v>
      </c>
      <c r="V309" t="s">
        <v>20</v>
      </c>
      <c r="W309">
        <v>2</v>
      </c>
    </row>
    <row r="310" spans="1:23" hidden="1" x14ac:dyDescent="0.3">
      <c r="A310" t="s">
        <v>537</v>
      </c>
      <c r="B310" s="2">
        <v>46130</v>
      </c>
      <c r="C310" s="2" t="str">
        <v>Apr</v>
      </c>
      <c r="D310" t="s">
        <v>320</v>
      </c>
      <c r="E310" t="s">
        <v>75</v>
      </c>
      <c r="F310" t="str">
        <f>TRIM(E310)</f>
        <v>Sneha</v>
      </c>
      <c r="G310" t="s">
        <v>40</v>
      </c>
      <c r="H310">
        <v>69</v>
      </c>
      <c r="I310" t="str">
        <f t="shared" si="4"/>
        <v>Gurugram</v>
      </c>
      <c r="J310" t="s">
        <v>90</v>
      </c>
      <c r="K310">
        <f ca="1"/>
        <v>41</v>
      </c>
      <c r="N310" t="s">
        <v>18</v>
      </c>
      <c r="O310">
        <v>1</v>
      </c>
      <c r="P310">
        <v>53197</v>
      </c>
      <c r="Q310">
        <v>15</v>
      </c>
      <c r="R310">
        <f>O310*P310</f>
        <v>53197</v>
      </c>
      <c r="S310" t="s">
        <v>19</v>
      </c>
      <c r="T310" t="str">
        <f>TRIM(S310)</f>
        <v>UPI</v>
      </c>
      <c r="U310">
        <v>200</v>
      </c>
      <c r="V310" t="s">
        <v>20</v>
      </c>
      <c r="W310">
        <v>3</v>
      </c>
    </row>
    <row r="311" spans="1:23" hidden="1" x14ac:dyDescent="0.3">
      <c r="A311" t="s">
        <v>538</v>
      </c>
      <c r="B311" s="2">
        <v>46118</v>
      </c>
      <c r="C311" s="2" t="str">
        <v>Apr</v>
      </c>
      <c r="D311" t="s">
        <v>410</v>
      </c>
      <c r="E311" t="s">
        <v>116</v>
      </c>
      <c r="F311" t="str">
        <f>TRIM(E311)</f>
        <v>Priya</v>
      </c>
      <c r="G311" t="s">
        <v>117</v>
      </c>
      <c r="H311">
        <v>40</v>
      </c>
      <c r="I311" t="str">
        <f t="shared" si="4"/>
        <v>Ghaziabad</v>
      </c>
      <c r="J311" t="s">
        <v>190</v>
      </c>
      <c r="K311">
        <f ca="1"/>
        <v>54</v>
      </c>
      <c r="N311" t="s">
        <v>55</v>
      </c>
      <c r="O311">
        <v>1</v>
      </c>
      <c r="P311">
        <v>3100</v>
      </c>
      <c r="Q311">
        <v>20</v>
      </c>
      <c r="R311">
        <f>O311*P311</f>
        <v>3100</v>
      </c>
      <c r="S311" t="s">
        <v>91</v>
      </c>
      <c r="T311" t="str">
        <f>TRIM(S311)</f>
        <v>Net Banking</v>
      </c>
      <c r="U311">
        <v>36</v>
      </c>
      <c r="V311" t="s">
        <v>20</v>
      </c>
      <c r="W311">
        <v>5</v>
      </c>
    </row>
    <row r="312" spans="1:23" hidden="1" x14ac:dyDescent="0.3">
      <c r="A312" t="s">
        <v>539</v>
      </c>
      <c r="B312" s="2">
        <v>46044</v>
      </c>
      <c r="C312" s="2" t="str">
        <v>Jan</v>
      </c>
      <c r="D312" t="s">
        <v>360</v>
      </c>
      <c r="E312" t="s">
        <v>116</v>
      </c>
      <c r="F312" t="str">
        <f>TRIM(E312)</f>
        <v>Priya</v>
      </c>
      <c r="G312" t="s">
        <v>117</v>
      </c>
      <c r="H312">
        <v>40</v>
      </c>
      <c r="I312" t="str">
        <f t="shared" si="4"/>
        <v>Ghaziabad</v>
      </c>
      <c r="J312" t="s">
        <v>131</v>
      </c>
      <c r="K312">
        <f ca="1"/>
        <v>27</v>
      </c>
      <c r="N312" t="s">
        <v>55</v>
      </c>
      <c r="O312">
        <v>1</v>
      </c>
      <c r="P312">
        <v>3200</v>
      </c>
      <c r="Q312">
        <v>5</v>
      </c>
      <c r="R312">
        <f>O312*P312</f>
        <v>3200</v>
      </c>
      <c r="S312" t="s">
        <v>91</v>
      </c>
      <c r="T312" t="str">
        <f>TRIM(S312)</f>
        <v>Net Banking</v>
      </c>
      <c r="U312">
        <v>36</v>
      </c>
      <c r="V312" t="s">
        <v>20</v>
      </c>
      <c r="W312">
        <v>5</v>
      </c>
    </row>
    <row r="313" spans="1:23" x14ac:dyDescent="0.3">
      <c r="A313" t="s">
        <v>540</v>
      </c>
      <c r="B313" s="2">
        <v>46151</v>
      </c>
      <c r="C313" s="2" t="str">
        <v>May</v>
      </c>
      <c r="D313" t="s">
        <v>541</v>
      </c>
      <c r="F313" t="str">
        <f>TRIM(E313)</f>
        <v/>
      </c>
      <c r="G313" t="s">
        <v>31</v>
      </c>
      <c r="H313">
        <v>64</v>
      </c>
      <c r="I313" t="str">
        <f t="shared" si="4"/>
        <v>Noida</v>
      </c>
      <c r="J313" t="s">
        <v>25</v>
      </c>
      <c r="K313">
        <f ca="1"/>
        <v>20</v>
      </c>
      <c r="N313" t="s">
        <v>26</v>
      </c>
      <c r="O313">
        <v>4</v>
      </c>
      <c r="P313">
        <v>505</v>
      </c>
      <c r="Q313">
        <v>0</v>
      </c>
      <c r="R313">
        <f>O313*P313</f>
        <v>2020</v>
      </c>
      <c r="S313" t="s">
        <v>19</v>
      </c>
      <c r="T313" t="str">
        <f>TRIM(S313)</f>
        <v>UPI</v>
      </c>
      <c r="U313">
        <v>200</v>
      </c>
      <c r="V313" t="s">
        <v>20</v>
      </c>
      <c r="W313">
        <v>3</v>
      </c>
    </row>
    <row r="314" spans="1:23" hidden="1" x14ac:dyDescent="0.3">
      <c r="A314" t="s">
        <v>542</v>
      </c>
      <c r="B314" s="2">
        <v>46175</v>
      </c>
      <c r="C314" s="2" t="str">
        <v>Jun</v>
      </c>
      <c r="D314" t="s">
        <v>543</v>
      </c>
      <c r="E314" t="s">
        <v>161</v>
      </c>
      <c r="F314" t="str">
        <f>TRIM(E314)</f>
        <v>Ananya</v>
      </c>
      <c r="G314" t="s">
        <v>40</v>
      </c>
      <c r="H314">
        <v>69</v>
      </c>
      <c r="I314" t="str">
        <f t="shared" si="4"/>
        <v>Gurugram</v>
      </c>
      <c r="J314" t="s">
        <v>131</v>
      </c>
      <c r="K314">
        <f ca="1"/>
        <v>27</v>
      </c>
      <c r="N314" t="s">
        <v>55</v>
      </c>
      <c r="O314">
        <v>2</v>
      </c>
      <c r="P314">
        <v>3100</v>
      </c>
      <c r="Q314">
        <v>0</v>
      </c>
      <c r="R314">
        <f>O314*P314</f>
        <v>6200</v>
      </c>
      <c r="S314" t="s">
        <v>27</v>
      </c>
      <c r="T314" t="str">
        <f>TRIM(S314)</f>
        <v>Card</v>
      </c>
      <c r="U314">
        <v>135</v>
      </c>
      <c r="V314" t="s">
        <v>20</v>
      </c>
      <c r="W314">
        <v>4</v>
      </c>
    </row>
    <row r="315" spans="1:23" x14ac:dyDescent="0.3">
      <c r="A315" t="s">
        <v>544</v>
      </c>
      <c r="B315" s="2">
        <v>46063</v>
      </c>
      <c r="C315" s="2" t="str">
        <v>Feb</v>
      </c>
      <c r="D315" t="s">
        <v>338</v>
      </c>
      <c r="E315" t="s">
        <v>61</v>
      </c>
      <c r="F315" t="str">
        <f>TRIM(E315)</f>
        <v>Nikhil</v>
      </c>
      <c r="G315" t="s">
        <v>31</v>
      </c>
      <c r="H315">
        <v>64</v>
      </c>
      <c r="I315" t="str">
        <f t="shared" si="4"/>
        <v>Noida</v>
      </c>
      <c r="J315" t="s">
        <v>68</v>
      </c>
      <c r="K315">
        <f ca="1"/>
        <v>23</v>
      </c>
      <c r="N315" t="s">
        <v>26</v>
      </c>
      <c r="O315">
        <v>2</v>
      </c>
      <c r="P315">
        <v>1270</v>
      </c>
      <c r="Q315">
        <v>15</v>
      </c>
      <c r="R315">
        <f>O315*P315</f>
        <v>2540</v>
      </c>
      <c r="S315" t="s">
        <v>19</v>
      </c>
      <c r="T315" t="str">
        <f>TRIM(S315)</f>
        <v>UPI</v>
      </c>
      <c r="U315">
        <v>200</v>
      </c>
      <c r="V315" t="s">
        <v>20</v>
      </c>
      <c r="W315">
        <v>2</v>
      </c>
    </row>
    <row r="316" spans="1:23" hidden="1" x14ac:dyDescent="0.3">
      <c r="A316" t="s">
        <v>545</v>
      </c>
      <c r="B316" s="2">
        <v>46056</v>
      </c>
      <c r="C316" s="2" t="str">
        <v>Feb</v>
      </c>
      <c r="D316" t="s">
        <v>546</v>
      </c>
      <c r="E316" t="s">
        <v>80</v>
      </c>
      <c r="F316" t="str">
        <f>TRIM(E316)</f>
        <v>Varun</v>
      </c>
      <c r="G316" t="s">
        <v>36</v>
      </c>
      <c r="H316">
        <v>73</v>
      </c>
      <c r="I316" t="str">
        <f t="shared" si="4"/>
        <v>Delhi</v>
      </c>
      <c r="J316" t="s">
        <v>54</v>
      </c>
      <c r="K316">
        <f ca="1"/>
        <v>31</v>
      </c>
      <c r="N316" t="s">
        <v>55</v>
      </c>
      <c r="O316">
        <v>1</v>
      </c>
      <c r="P316">
        <v>3400</v>
      </c>
      <c r="Q316">
        <v>10</v>
      </c>
      <c r="R316">
        <f>O316*P316</f>
        <v>3400</v>
      </c>
      <c r="S316" t="s">
        <v>19</v>
      </c>
      <c r="T316" t="str">
        <f>TRIM(S316)</f>
        <v>UPI</v>
      </c>
      <c r="U316">
        <v>200</v>
      </c>
      <c r="V316" t="s">
        <v>46</v>
      </c>
      <c r="W316">
        <v>0</v>
      </c>
    </row>
    <row r="317" spans="1:23" hidden="1" x14ac:dyDescent="0.3">
      <c r="A317" t="s">
        <v>547</v>
      </c>
      <c r="B317" s="2">
        <v>46104</v>
      </c>
      <c r="C317" s="2" t="str">
        <v>Mar</v>
      </c>
      <c r="D317" t="s">
        <v>425</v>
      </c>
      <c r="E317" t="s">
        <v>43</v>
      </c>
      <c r="F317" t="str">
        <f>TRIM(E317)</f>
        <v>Aarav</v>
      </c>
      <c r="G317" t="s">
        <v>16</v>
      </c>
      <c r="H317">
        <v>49</v>
      </c>
      <c r="I317" t="str">
        <f t="shared" si="4"/>
        <v>Lucknow</v>
      </c>
      <c r="J317" t="s">
        <v>383</v>
      </c>
      <c r="K317">
        <f ca="1"/>
        <v>18</v>
      </c>
      <c r="N317" t="s">
        <v>26</v>
      </c>
      <c r="O317">
        <v>1</v>
      </c>
      <c r="P317">
        <v>1780</v>
      </c>
      <c r="Q317">
        <v>5</v>
      </c>
      <c r="R317">
        <f>O317*P317</f>
        <v>1780</v>
      </c>
      <c r="S317" t="s">
        <v>27</v>
      </c>
      <c r="T317" t="str">
        <f>TRIM(S317)</f>
        <v>Card</v>
      </c>
      <c r="U317">
        <v>135</v>
      </c>
      <c r="V317" t="s">
        <v>20</v>
      </c>
      <c r="W317">
        <v>1</v>
      </c>
    </row>
    <row r="318" spans="1:23" hidden="1" x14ac:dyDescent="0.3">
      <c r="A318" t="s">
        <v>548</v>
      </c>
      <c r="B318" s="2">
        <v>46113</v>
      </c>
      <c r="C318" s="2" t="str">
        <v>Apr</v>
      </c>
      <c r="D318" t="s">
        <v>70</v>
      </c>
      <c r="E318" t="s">
        <v>71</v>
      </c>
      <c r="F318" t="str">
        <f>TRIM(E318)</f>
        <v>Riya</v>
      </c>
      <c r="G318" t="s">
        <v>40</v>
      </c>
      <c r="H318">
        <v>69</v>
      </c>
      <c r="I318" t="str">
        <f t="shared" si="4"/>
        <v>Gurugram</v>
      </c>
      <c r="J318" t="s">
        <v>90</v>
      </c>
      <c r="K318">
        <f ca="1"/>
        <v>41</v>
      </c>
      <c r="N318" t="s">
        <v>18</v>
      </c>
      <c r="O318">
        <v>3</v>
      </c>
      <c r="P318">
        <v>29888</v>
      </c>
      <c r="Q318">
        <v>10</v>
      </c>
      <c r="R318">
        <f>O318*P318</f>
        <v>89664</v>
      </c>
      <c r="S318" t="s">
        <v>27</v>
      </c>
      <c r="T318" t="str">
        <f>TRIM(S318)</f>
        <v>Card</v>
      </c>
      <c r="U318">
        <v>135</v>
      </c>
      <c r="V318" t="s">
        <v>20</v>
      </c>
      <c r="W318">
        <v>5</v>
      </c>
    </row>
    <row r="319" spans="1:23" hidden="1" x14ac:dyDescent="0.3">
      <c r="A319" t="s">
        <v>549</v>
      </c>
      <c r="B319" s="2">
        <v>46104</v>
      </c>
      <c r="C319" s="2" t="str">
        <v>Mar</v>
      </c>
      <c r="D319" t="s">
        <v>441</v>
      </c>
      <c r="E319" t="s">
        <v>184</v>
      </c>
      <c r="F319" t="str">
        <f>TRIM(E319)</f>
        <v>Kavya</v>
      </c>
      <c r="G319" t="s">
        <v>16</v>
      </c>
      <c r="H319">
        <v>49</v>
      </c>
      <c r="I319" t="str">
        <f t="shared" si="4"/>
        <v>Lucknow</v>
      </c>
      <c r="J319" t="s">
        <v>131</v>
      </c>
      <c r="K319">
        <f ca="1"/>
        <v>27</v>
      </c>
      <c r="N319" t="s">
        <v>55</v>
      </c>
      <c r="O319">
        <v>1</v>
      </c>
      <c r="P319">
        <v>3000</v>
      </c>
      <c r="Q319">
        <v>15</v>
      </c>
      <c r="R319">
        <f>O319*P319</f>
        <v>3000</v>
      </c>
      <c r="S319" t="s">
        <v>27</v>
      </c>
      <c r="T319" t="str">
        <f>TRIM(S319)</f>
        <v>Card</v>
      </c>
      <c r="U319">
        <v>135</v>
      </c>
      <c r="V319" t="s">
        <v>20</v>
      </c>
      <c r="W319">
        <v>4</v>
      </c>
    </row>
    <row r="320" spans="1:23" hidden="1" x14ac:dyDescent="0.3">
      <c r="A320" t="s">
        <v>550</v>
      </c>
      <c r="B320" s="2">
        <v>46059</v>
      </c>
      <c r="C320" s="2" t="str">
        <v>Feb</v>
      </c>
      <c r="D320" t="s">
        <v>77</v>
      </c>
      <c r="E320" t="s">
        <v>23</v>
      </c>
      <c r="F320" t="str">
        <f>TRIM(E320)</f>
        <v>Pooja</v>
      </c>
      <c r="G320" t="s">
        <v>16</v>
      </c>
      <c r="H320">
        <v>49</v>
      </c>
      <c r="I320" t="str">
        <f t="shared" si="4"/>
        <v>Lucknow</v>
      </c>
      <c r="J320" t="s">
        <v>54</v>
      </c>
      <c r="K320">
        <f ca="1"/>
        <v>31</v>
      </c>
      <c r="N320" t="s">
        <v>55</v>
      </c>
      <c r="O320">
        <v>1</v>
      </c>
      <c r="P320">
        <v>3000</v>
      </c>
      <c r="Q320">
        <v>5</v>
      </c>
      <c r="R320">
        <f>O320*P320</f>
        <v>3000</v>
      </c>
      <c r="S320" t="s">
        <v>27</v>
      </c>
      <c r="T320" t="str">
        <f>TRIM(S320)</f>
        <v>Card</v>
      </c>
      <c r="U320">
        <v>135</v>
      </c>
      <c r="V320" t="s">
        <v>20</v>
      </c>
      <c r="W320">
        <v>6</v>
      </c>
    </row>
    <row r="321" spans="1:23" hidden="1" x14ac:dyDescent="0.3">
      <c r="A321" t="s">
        <v>551</v>
      </c>
      <c r="B321" s="2">
        <v>46077</v>
      </c>
      <c r="C321" s="2" t="str">
        <v>Feb</v>
      </c>
      <c r="D321" t="s">
        <v>552</v>
      </c>
      <c r="E321" t="s">
        <v>231</v>
      </c>
      <c r="F321" t="str">
        <f>TRIM(E321)</f>
        <v>Vivek</v>
      </c>
      <c r="G321" t="s">
        <v>81</v>
      </c>
      <c r="H321">
        <v>35</v>
      </c>
      <c r="I321" t="str">
        <f t="shared" si="4"/>
        <v>Faridabad</v>
      </c>
      <c r="J321" t="s">
        <v>156</v>
      </c>
      <c r="K321">
        <f ca="1"/>
        <v>35</v>
      </c>
      <c r="N321" t="s">
        <v>18</v>
      </c>
      <c r="O321">
        <v>3</v>
      </c>
      <c r="P321">
        <v>1200</v>
      </c>
      <c r="Q321">
        <v>0</v>
      </c>
      <c r="R321">
        <f>O321*P321</f>
        <v>3600</v>
      </c>
      <c r="S321" t="s">
        <v>27</v>
      </c>
      <c r="T321" t="str">
        <f>TRIM(S321)</f>
        <v>Card</v>
      </c>
      <c r="U321">
        <v>135</v>
      </c>
      <c r="V321" t="s">
        <v>20</v>
      </c>
      <c r="W321">
        <v>3</v>
      </c>
    </row>
    <row r="322" spans="1:23" hidden="1" x14ac:dyDescent="0.3">
      <c r="A322" t="s">
        <v>553</v>
      </c>
      <c r="B322" s="2">
        <v>46043</v>
      </c>
      <c r="C322" s="2" t="str">
        <v>Jan</v>
      </c>
      <c r="D322" t="s">
        <v>554</v>
      </c>
      <c r="E322" t="s">
        <v>161</v>
      </c>
      <c r="F322" t="str">
        <f>TRIM(E322)</f>
        <v>Ananya</v>
      </c>
      <c r="G322" t="s">
        <v>81</v>
      </c>
      <c r="H322">
        <v>35</v>
      </c>
      <c r="I322" t="str">
        <f t="shared" si="4"/>
        <v>Faridabad</v>
      </c>
      <c r="J322" t="s">
        <v>88</v>
      </c>
      <c r="K322">
        <f ca="1"/>
        <v>17</v>
      </c>
      <c r="N322" t="s">
        <v>26</v>
      </c>
      <c r="O322">
        <v>1</v>
      </c>
      <c r="P322">
        <v>1168</v>
      </c>
      <c r="Q322">
        <v>5</v>
      </c>
      <c r="R322">
        <f>O322*P322</f>
        <v>1168</v>
      </c>
      <c r="S322" t="s">
        <v>19</v>
      </c>
      <c r="T322" t="str">
        <f>TRIM(S322)</f>
        <v>UPI</v>
      </c>
      <c r="U322">
        <v>200</v>
      </c>
      <c r="V322" t="s">
        <v>20</v>
      </c>
      <c r="W322">
        <v>6</v>
      </c>
    </row>
    <row r="323" spans="1:23" x14ac:dyDescent="0.3">
      <c r="A323" t="s">
        <v>555</v>
      </c>
      <c r="B323" s="2">
        <v>46083</v>
      </c>
      <c r="C323" s="2" t="str">
        <v>Mar</v>
      </c>
      <c r="D323" t="s">
        <v>446</v>
      </c>
      <c r="E323" t="s">
        <v>71</v>
      </c>
      <c r="F323" t="str">
        <f>TRIM(E323)</f>
        <v>Riya</v>
      </c>
      <c r="G323" t="s">
        <v>31</v>
      </c>
      <c r="H323">
        <v>64</v>
      </c>
      <c r="I323" t="str">
        <f t="shared" ref="I323:I386" si="5">TRIM(G323)</f>
        <v>Noida</v>
      </c>
      <c r="J323" t="s">
        <v>68</v>
      </c>
      <c r="K323">
        <f ca="1"/>
        <v>23</v>
      </c>
      <c r="N323" t="s">
        <v>26</v>
      </c>
      <c r="O323">
        <v>1</v>
      </c>
      <c r="P323">
        <v>862</v>
      </c>
      <c r="Q323">
        <v>20</v>
      </c>
      <c r="R323">
        <f>O323*P323</f>
        <v>862</v>
      </c>
      <c r="S323" t="s">
        <v>91</v>
      </c>
      <c r="T323" t="str">
        <f>TRIM(S323)</f>
        <v>Net Banking</v>
      </c>
      <c r="U323">
        <v>36</v>
      </c>
      <c r="V323" t="s">
        <v>20</v>
      </c>
      <c r="W323">
        <v>4</v>
      </c>
    </row>
    <row r="324" spans="1:23" x14ac:dyDescent="0.3">
      <c r="A324" t="s">
        <v>556</v>
      </c>
      <c r="B324" s="2">
        <v>46128</v>
      </c>
      <c r="C324" s="2" t="str">
        <v>Apr</v>
      </c>
      <c r="D324" t="s">
        <v>422</v>
      </c>
      <c r="E324" t="s">
        <v>184</v>
      </c>
      <c r="F324" t="str">
        <f>TRIM(E324)</f>
        <v>Kavya</v>
      </c>
      <c r="G324" t="s">
        <v>31</v>
      </c>
      <c r="H324">
        <v>64</v>
      </c>
      <c r="I324" t="str">
        <f t="shared" si="5"/>
        <v>Noida</v>
      </c>
      <c r="J324" t="s">
        <v>156</v>
      </c>
      <c r="K324">
        <f ca="1"/>
        <v>35</v>
      </c>
      <c r="N324" t="s">
        <v>18</v>
      </c>
      <c r="O324">
        <v>3</v>
      </c>
      <c r="P324">
        <v>37060</v>
      </c>
      <c r="Q324">
        <v>0</v>
      </c>
      <c r="R324">
        <f>O324*P324</f>
        <v>111180</v>
      </c>
      <c r="S324" t="s">
        <v>56</v>
      </c>
      <c r="T324" t="str">
        <f>TRIM(S324)</f>
        <v>COD</v>
      </c>
      <c r="U324">
        <v>129</v>
      </c>
      <c r="V324" t="s">
        <v>20</v>
      </c>
      <c r="W324">
        <v>5</v>
      </c>
    </row>
    <row r="325" spans="1:23" hidden="1" x14ac:dyDescent="0.3">
      <c r="A325" t="s">
        <v>557</v>
      </c>
      <c r="B325" s="2">
        <v>46098</v>
      </c>
      <c r="C325" s="2" t="str">
        <v>Mar</v>
      </c>
      <c r="D325" t="s">
        <v>163</v>
      </c>
      <c r="E325" t="s">
        <v>39</v>
      </c>
      <c r="F325" t="str">
        <f>TRIM(E325)</f>
        <v>Aman</v>
      </c>
      <c r="G325" t="s">
        <v>65</v>
      </c>
      <c r="H325">
        <v>36</v>
      </c>
      <c r="I325" t="str">
        <f t="shared" si="5"/>
        <v>Jaipur</v>
      </c>
      <c r="J325" t="s">
        <v>68</v>
      </c>
      <c r="K325">
        <f ca="1"/>
        <v>23</v>
      </c>
      <c r="N325" t="s">
        <v>26</v>
      </c>
      <c r="O325">
        <v>1</v>
      </c>
      <c r="P325">
        <v>1780</v>
      </c>
      <c r="Q325">
        <v>0</v>
      </c>
      <c r="R325">
        <f>O325*P325</f>
        <v>1780</v>
      </c>
      <c r="S325" t="s">
        <v>27</v>
      </c>
      <c r="T325" t="str">
        <f>TRIM(S325)</f>
        <v>Card</v>
      </c>
      <c r="U325">
        <v>135</v>
      </c>
      <c r="V325" t="s">
        <v>20</v>
      </c>
      <c r="W325">
        <v>3</v>
      </c>
    </row>
    <row r="326" spans="1:23" x14ac:dyDescent="0.3">
      <c r="A326" t="s">
        <v>558</v>
      </c>
      <c r="B326" s="2">
        <v>46138</v>
      </c>
      <c r="C326" s="2" t="str">
        <v>Apr</v>
      </c>
      <c r="D326" t="s">
        <v>546</v>
      </c>
      <c r="E326" t="s">
        <v>80</v>
      </c>
      <c r="F326" t="str">
        <f>TRIM(E326)</f>
        <v>Varun</v>
      </c>
      <c r="G326" t="s">
        <v>31</v>
      </c>
      <c r="H326">
        <v>64</v>
      </c>
      <c r="I326" t="str">
        <f t="shared" si="5"/>
        <v>Noida</v>
      </c>
      <c r="J326" t="s">
        <v>156</v>
      </c>
      <c r="K326">
        <f ca="1"/>
        <v>35</v>
      </c>
      <c r="N326" t="s">
        <v>18</v>
      </c>
      <c r="O326">
        <v>1</v>
      </c>
      <c r="P326">
        <v>40646</v>
      </c>
      <c r="Q326">
        <v>15</v>
      </c>
      <c r="R326">
        <f>O326*P326</f>
        <v>40646</v>
      </c>
      <c r="S326" t="s">
        <v>56</v>
      </c>
      <c r="T326" t="str">
        <f>TRIM(S326)</f>
        <v>COD</v>
      </c>
      <c r="U326">
        <v>129</v>
      </c>
      <c r="V326" t="s">
        <v>20</v>
      </c>
      <c r="W326">
        <v>3</v>
      </c>
    </row>
    <row r="327" spans="1:23" x14ac:dyDescent="0.3">
      <c r="A327" t="s">
        <v>559</v>
      </c>
      <c r="B327" s="2">
        <v>46137</v>
      </c>
      <c r="C327" s="2" t="str">
        <v>Apr</v>
      </c>
      <c r="D327" t="s">
        <v>400</v>
      </c>
      <c r="E327" t="s">
        <v>116</v>
      </c>
      <c r="F327" t="str">
        <f>TRIM(E327)</f>
        <v>Priya</v>
      </c>
      <c r="G327" t="s">
        <v>31</v>
      </c>
      <c r="H327">
        <v>64</v>
      </c>
      <c r="I327" t="str">
        <f t="shared" si="5"/>
        <v>Noida</v>
      </c>
      <c r="J327" t="s">
        <v>141</v>
      </c>
      <c r="K327">
        <f ca="1"/>
        <v>34</v>
      </c>
      <c r="N327" t="s">
        <v>50</v>
      </c>
      <c r="O327">
        <v>1</v>
      </c>
      <c r="P327">
        <v>1030</v>
      </c>
      <c r="Q327">
        <v>0</v>
      </c>
      <c r="R327">
        <f>O327*P327</f>
        <v>1030</v>
      </c>
      <c r="S327" t="s">
        <v>19</v>
      </c>
      <c r="T327" t="str">
        <f>TRIM(S327)</f>
        <v>UPI</v>
      </c>
      <c r="U327">
        <v>200</v>
      </c>
      <c r="V327" t="s">
        <v>20</v>
      </c>
      <c r="W327">
        <v>4</v>
      </c>
    </row>
    <row r="328" spans="1:23" hidden="1" x14ac:dyDescent="0.3">
      <c r="A328" t="s">
        <v>560</v>
      </c>
      <c r="B328" s="2">
        <v>46148</v>
      </c>
      <c r="C328" s="2" t="str">
        <v>May</v>
      </c>
      <c r="D328" t="s">
        <v>266</v>
      </c>
      <c r="E328" t="s">
        <v>80</v>
      </c>
      <c r="F328" t="str">
        <f>TRIM(E328)</f>
        <v>Varun</v>
      </c>
      <c r="G328" t="s">
        <v>24</v>
      </c>
      <c r="H328">
        <v>35</v>
      </c>
      <c r="I328" t="str">
        <f t="shared" si="5"/>
        <v>Chandigarh</v>
      </c>
      <c r="J328" t="s">
        <v>135</v>
      </c>
      <c r="K328">
        <f ca="1"/>
        <v>28</v>
      </c>
      <c r="N328" t="s">
        <v>50</v>
      </c>
      <c r="O328">
        <v>1</v>
      </c>
      <c r="P328">
        <v>884</v>
      </c>
      <c r="Q328">
        <v>5</v>
      </c>
      <c r="R328">
        <f>O328*P328</f>
        <v>884</v>
      </c>
      <c r="S328" t="s">
        <v>27</v>
      </c>
      <c r="T328" t="str">
        <f>TRIM(S328)</f>
        <v>Card</v>
      </c>
      <c r="U328">
        <v>135</v>
      </c>
      <c r="V328" t="s">
        <v>20</v>
      </c>
      <c r="W328">
        <v>2</v>
      </c>
    </row>
    <row r="329" spans="1:23" hidden="1" x14ac:dyDescent="0.3">
      <c r="A329" t="s">
        <v>561</v>
      </c>
      <c r="B329" s="2">
        <v>46120</v>
      </c>
      <c r="C329" s="2" t="str">
        <v>Apr</v>
      </c>
      <c r="D329" t="s">
        <v>187</v>
      </c>
      <c r="E329" t="s">
        <v>98</v>
      </c>
      <c r="F329" t="str">
        <f>TRIM(E329)</f>
        <v>Meera</v>
      </c>
      <c r="G329" t="s">
        <v>40</v>
      </c>
      <c r="H329">
        <v>69</v>
      </c>
      <c r="I329" t="str">
        <f t="shared" si="5"/>
        <v>Gurugram</v>
      </c>
      <c r="J329" t="s">
        <v>44</v>
      </c>
      <c r="K329">
        <f ca="1"/>
        <v>29</v>
      </c>
      <c r="N329" t="s">
        <v>45</v>
      </c>
      <c r="O329">
        <v>3</v>
      </c>
      <c r="P329">
        <v>900</v>
      </c>
      <c r="Q329">
        <v>10</v>
      </c>
      <c r="R329">
        <f>O329*P329</f>
        <v>2700</v>
      </c>
      <c r="S329" t="s">
        <v>27</v>
      </c>
      <c r="T329" t="str">
        <f>TRIM(S329)</f>
        <v>Card</v>
      </c>
      <c r="U329">
        <v>135</v>
      </c>
      <c r="V329" t="s">
        <v>46</v>
      </c>
      <c r="W329">
        <v>0</v>
      </c>
    </row>
    <row r="330" spans="1:23" hidden="1" x14ac:dyDescent="0.3">
      <c r="A330" t="s">
        <v>562</v>
      </c>
      <c r="B330" s="2">
        <v>46150</v>
      </c>
      <c r="C330" s="2" t="str">
        <v>May</v>
      </c>
      <c r="D330" t="s">
        <v>452</v>
      </c>
      <c r="E330" t="s">
        <v>149</v>
      </c>
      <c r="F330" t="str">
        <f>TRIM(E330)</f>
        <v>Rahul</v>
      </c>
      <c r="G330" t="s">
        <v>24</v>
      </c>
      <c r="H330">
        <v>35</v>
      </c>
      <c r="I330" t="str">
        <f t="shared" si="5"/>
        <v>Chandigarh</v>
      </c>
      <c r="J330" t="s">
        <v>135</v>
      </c>
      <c r="K330">
        <f ca="1"/>
        <v>28</v>
      </c>
      <c r="N330" t="s">
        <v>50</v>
      </c>
      <c r="O330">
        <v>2</v>
      </c>
      <c r="P330">
        <v>592</v>
      </c>
      <c r="Q330">
        <v>10</v>
      </c>
      <c r="R330">
        <f>O330*P330</f>
        <v>1184</v>
      </c>
      <c r="S330" t="s">
        <v>56</v>
      </c>
      <c r="T330" t="str">
        <f>TRIM(S330)</f>
        <v>COD</v>
      </c>
      <c r="U330">
        <v>129</v>
      </c>
      <c r="V330" t="s">
        <v>46</v>
      </c>
      <c r="W330">
        <v>0</v>
      </c>
    </row>
    <row r="331" spans="1:23" hidden="1" x14ac:dyDescent="0.3">
      <c r="A331" t="s">
        <v>563</v>
      </c>
      <c r="B331" s="2">
        <v>46039</v>
      </c>
      <c r="C331" s="2" t="str">
        <v>Jan</v>
      </c>
      <c r="D331" t="s">
        <v>93</v>
      </c>
      <c r="E331" t="s">
        <v>94</v>
      </c>
      <c r="F331" t="str">
        <f>TRIM(E331)</f>
        <v>Karan</v>
      </c>
      <c r="G331" t="s">
        <v>65</v>
      </c>
      <c r="H331">
        <v>36</v>
      </c>
      <c r="I331" t="str">
        <f t="shared" si="5"/>
        <v>Jaipur</v>
      </c>
      <c r="J331" t="s">
        <v>62</v>
      </c>
      <c r="K331">
        <f ca="1"/>
        <v>33</v>
      </c>
      <c r="N331" t="s">
        <v>50</v>
      </c>
      <c r="O331">
        <v>3</v>
      </c>
      <c r="P331">
        <v>1322</v>
      </c>
      <c r="Q331">
        <v>5</v>
      </c>
      <c r="R331">
        <f>O331*P331</f>
        <v>3966</v>
      </c>
      <c r="S331" t="s">
        <v>56</v>
      </c>
      <c r="T331" t="str">
        <f>TRIM(S331)</f>
        <v>COD</v>
      </c>
      <c r="U331">
        <v>129</v>
      </c>
      <c r="V331" t="s">
        <v>20</v>
      </c>
      <c r="W331">
        <v>4</v>
      </c>
    </row>
    <row r="332" spans="1:23" hidden="1" x14ac:dyDescent="0.3">
      <c r="A332" t="s">
        <v>564</v>
      </c>
      <c r="B332" s="2">
        <v>46178</v>
      </c>
      <c r="C332" s="2" t="str">
        <v>Jun</v>
      </c>
      <c r="D332" t="s">
        <v>470</v>
      </c>
      <c r="E332" t="s">
        <v>184</v>
      </c>
      <c r="F332" t="str">
        <f>TRIM(E332)</f>
        <v>Kavya</v>
      </c>
      <c r="G332" t="s">
        <v>81</v>
      </c>
      <c r="H332">
        <v>35</v>
      </c>
      <c r="I332" t="str">
        <f t="shared" si="5"/>
        <v>Faridabad</v>
      </c>
      <c r="J332" t="s">
        <v>113</v>
      </c>
      <c r="K332">
        <f ca="1"/>
        <v>26</v>
      </c>
      <c r="N332" t="s">
        <v>26</v>
      </c>
      <c r="O332">
        <v>2</v>
      </c>
      <c r="P332">
        <v>1474</v>
      </c>
      <c r="Q332">
        <v>5</v>
      </c>
      <c r="R332">
        <f>O332*P332</f>
        <v>2948</v>
      </c>
      <c r="S332" t="s">
        <v>19</v>
      </c>
      <c r="T332" t="str">
        <f>TRIM(S332)</f>
        <v>UPI</v>
      </c>
      <c r="U332">
        <v>200</v>
      </c>
      <c r="V332" t="s">
        <v>20</v>
      </c>
      <c r="W332">
        <v>4</v>
      </c>
    </row>
    <row r="333" spans="1:23" hidden="1" x14ac:dyDescent="0.3">
      <c r="A333" t="s">
        <v>565</v>
      </c>
      <c r="B333" s="2">
        <v>46191</v>
      </c>
      <c r="C333" s="2" t="str">
        <v>Jun</v>
      </c>
      <c r="D333" t="s">
        <v>566</v>
      </c>
      <c r="E333" t="s">
        <v>61</v>
      </c>
      <c r="F333" t="str">
        <f>TRIM(E333)</f>
        <v>Nikhil</v>
      </c>
      <c r="G333" t="s">
        <v>65</v>
      </c>
      <c r="H333">
        <v>36</v>
      </c>
      <c r="I333" t="str">
        <f t="shared" si="5"/>
        <v>Jaipur</v>
      </c>
      <c r="J333" t="s">
        <v>131</v>
      </c>
      <c r="K333">
        <f ca="1"/>
        <v>27</v>
      </c>
      <c r="N333" t="s">
        <v>55</v>
      </c>
      <c r="O333">
        <v>1</v>
      </c>
      <c r="P333">
        <v>1800</v>
      </c>
      <c r="Q333">
        <v>15</v>
      </c>
      <c r="R333">
        <f>O333*P333</f>
        <v>1800</v>
      </c>
      <c r="S333" t="s">
        <v>56</v>
      </c>
      <c r="T333" t="str">
        <f>TRIM(S333)</f>
        <v>COD</v>
      </c>
      <c r="U333">
        <v>129</v>
      </c>
      <c r="V333" t="s">
        <v>20</v>
      </c>
      <c r="W333">
        <v>9</v>
      </c>
    </row>
    <row r="334" spans="1:23" hidden="1" x14ac:dyDescent="0.3">
      <c r="A334" t="s">
        <v>567</v>
      </c>
      <c r="B334" s="2">
        <v>46044</v>
      </c>
      <c r="C334" s="2" t="str">
        <v>Jan</v>
      </c>
      <c r="D334" t="s">
        <v>410</v>
      </c>
      <c r="E334" t="s">
        <v>116</v>
      </c>
      <c r="F334" t="str">
        <f>TRIM(E334)</f>
        <v>Priya</v>
      </c>
      <c r="G334" t="s">
        <v>40</v>
      </c>
      <c r="H334">
        <v>69</v>
      </c>
      <c r="I334" t="str">
        <f t="shared" si="5"/>
        <v>Gurugram</v>
      </c>
      <c r="J334" t="s">
        <v>32</v>
      </c>
      <c r="K334">
        <f ca="1"/>
        <v>36</v>
      </c>
      <c r="N334" t="s">
        <v>18</v>
      </c>
      <c r="O334">
        <v>1</v>
      </c>
      <c r="P334">
        <v>26302</v>
      </c>
      <c r="Q334">
        <v>10</v>
      </c>
      <c r="R334">
        <f>O334*P334</f>
        <v>26302</v>
      </c>
      <c r="S334" t="s">
        <v>19</v>
      </c>
      <c r="T334" t="str">
        <f>TRIM(S334)</f>
        <v>UPI</v>
      </c>
      <c r="U334">
        <v>200</v>
      </c>
      <c r="V334" t="s">
        <v>20</v>
      </c>
      <c r="W334">
        <v>3</v>
      </c>
    </row>
    <row r="335" spans="1:23" x14ac:dyDescent="0.3">
      <c r="A335" t="s">
        <v>568</v>
      </c>
      <c r="B335" s="2">
        <v>46089</v>
      </c>
      <c r="C335" s="2" t="str">
        <v>Mar</v>
      </c>
      <c r="D335" t="s">
        <v>441</v>
      </c>
      <c r="E335" t="s">
        <v>184</v>
      </c>
      <c r="F335" t="str">
        <f>TRIM(E335)</f>
        <v>Kavya</v>
      </c>
      <c r="G335" t="s">
        <v>31</v>
      </c>
      <c r="H335">
        <v>64</v>
      </c>
      <c r="I335" t="str">
        <f t="shared" si="5"/>
        <v>Noida</v>
      </c>
      <c r="J335" t="s">
        <v>54</v>
      </c>
      <c r="K335">
        <f ca="1"/>
        <v>31</v>
      </c>
      <c r="N335" t="s">
        <v>55</v>
      </c>
      <c r="O335">
        <v>1</v>
      </c>
      <c r="P335">
        <v>2700</v>
      </c>
      <c r="Q335">
        <v>10</v>
      </c>
      <c r="R335">
        <f>O335*P335</f>
        <v>2700</v>
      </c>
      <c r="S335" t="s">
        <v>56</v>
      </c>
      <c r="T335" t="str">
        <f>TRIM(S335)</f>
        <v>COD</v>
      </c>
      <c r="U335">
        <v>129</v>
      </c>
      <c r="V335" t="s">
        <v>20</v>
      </c>
      <c r="W335">
        <v>6</v>
      </c>
    </row>
    <row r="336" spans="1:23" hidden="1" x14ac:dyDescent="0.3">
      <c r="A336" t="s">
        <v>569</v>
      </c>
      <c r="B336" s="2">
        <v>46118</v>
      </c>
      <c r="C336" s="2" t="str">
        <v>Apr</v>
      </c>
      <c r="D336" t="s">
        <v>477</v>
      </c>
      <c r="E336" t="s">
        <v>75</v>
      </c>
      <c r="F336" t="str">
        <f>TRIM(E336)</f>
        <v>Sneha</v>
      </c>
      <c r="G336" t="s">
        <v>36</v>
      </c>
      <c r="H336">
        <v>73</v>
      </c>
      <c r="I336" t="str">
        <f t="shared" si="5"/>
        <v>Delhi</v>
      </c>
      <c r="J336" t="s">
        <v>156</v>
      </c>
      <c r="K336">
        <f ca="1"/>
        <v>35</v>
      </c>
      <c r="N336" t="s">
        <v>18</v>
      </c>
      <c r="O336">
        <v>1</v>
      </c>
      <c r="P336">
        <v>15544</v>
      </c>
      <c r="Q336">
        <v>15</v>
      </c>
      <c r="R336">
        <f>O336*P336</f>
        <v>15544</v>
      </c>
      <c r="S336" t="s">
        <v>56</v>
      </c>
      <c r="T336" t="str">
        <f>TRIM(S336)</f>
        <v>COD</v>
      </c>
      <c r="U336">
        <v>129</v>
      </c>
      <c r="V336" t="s">
        <v>20</v>
      </c>
      <c r="W336">
        <v>5</v>
      </c>
    </row>
    <row r="337" spans="1:23" hidden="1" x14ac:dyDescent="0.3">
      <c r="A337" t="s">
        <v>570</v>
      </c>
      <c r="B337" s="2">
        <v>46084</v>
      </c>
      <c r="C337" s="2" t="str">
        <v>Mar</v>
      </c>
      <c r="D337" t="s">
        <v>510</v>
      </c>
      <c r="E337" t="s">
        <v>23</v>
      </c>
      <c r="F337" t="str">
        <f>TRIM(E337)</f>
        <v>Pooja</v>
      </c>
      <c r="G337" t="s">
        <v>16</v>
      </c>
      <c r="H337">
        <v>49</v>
      </c>
      <c r="I337" t="str">
        <f t="shared" si="5"/>
        <v>Lucknow</v>
      </c>
      <c r="J337" t="s">
        <v>49</v>
      </c>
      <c r="K337">
        <f ca="1"/>
        <v>29</v>
      </c>
      <c r="N337" t="s">
        <v>50</v>
      </c>
      <c r="O337">
        <v>2</v>
      </c>
      <c r="P337">
        <v>446</v>
      </c>
      <c r="Q337">
        <v>10</v>
      </c>
      <c r="R337">
        <f>O337*P337</f>
        <v>892</v>
      </c>
      <c r="S337" t="s">
        <v>56</v>
      </c>
      <c r="T337" t="str">
        <f>TRIM(S337)</f>
        <v>COD</v>
      </c>
      <c r="U337">
        <v>129</v>
      </c>
      <c r="V337" t="s">
        <v>20</v>
      </c>
      <c r="W337">
        <v>4</v>
      </c>
    </row>
    <row r="338" spans="1:23" hidden="1" x14ac:dyDescent="0.3">
      <c r="A338" t="s">
        <v>571</v>
      </c>
      <c r="B338" s="2">
        <v>46149</v>
      </c>
      <c r="C338" s="2" t="str">
        <v>May</v>
      </c>
      <c r="D338" t="s">
        <v>273</v>
      </c>
      <c r="E338" t="s">
        <v>15</v>
      </c>
      <c r="F338" t="str">
        <f>TRIM(E338)</f>
        <v>Aditya</v>
      </c>
      <c r="G338" t="s">
        <v>65</v>
      </c>
      <c r="H338">
        <v>36</v>
      </c>
      <c r="I338" t="str">
        <f t="shared" si="5"/>
        <v>Jaipur</v>
      </c>
      <c r="J338" t="s">
        <v>68</v>
      </c>
      <c r="K338">
        <f ca="1"/>
        <v>23</v>
      </c>
      <c r="N338" t="s">
        <v>26</v>
      </c>
      <c r="O338">
        <v>2</v>
      </c>
      <c r="P338">
        <v>1015</v>
      </c>
      <c r="Q338">
        <v>10</v>
      </c>
      <c r="R338">
        <f>O338*P338</f>
        <v>2030</v>
      </c>
      <c r="S338" t="s">
        <v>27</v>
      </c>
      <c r="T338" t="str">
        <f>TRIM(S338)</f>
        <v>Card</v>
      </c>
      <c r="U338">
        <v>135</v>
      </c>
      <c r="V338" t="s">
        <v>20</v>
      </c>
      <c r="W338">
        <v>5</v>
      </c>
    </row>
    <row r="339" spans="1:23" hidden="1" x14ac:dyDescent="0.3">
      <c r="A339" t="s">
        <v>572</v>
      </c>
      <c r="B339" s="2">
        <v>46098</v>
      </c>
      <c r="C339" s="2" t="str">
        <v>Mar</v>
      </c>
      <c r="D339" t="s">
        <v>327</v>
      </c>
      <c r="E339" t="s">
        <v>35</v>
      </c>
      <c r="F339" t="str">
        <f>TRIM(E339)</f>
        <v>Rohan</v>
      </c>
      <c r="G339" t="s">
        <v>40</v>
      </c>
      <c r="H339">
        <v>69</v>
      </c>
      <c r="I339" t="str">
        <f t="shared" si="5"/>
        <v>Gurugram</v>
      </c>
      <c r="J339" t="s">
        <v>383</v>
      </c>
      <c r="K339">
        <f ca="1"/>
        <v>18</v>
      </c>
      <c r="N339" t="s">
        <v>26</v>
      </c>
      <c r="O339">
        <v>1</v>
      </c>
      <c r="P339">
        <v>1474</v>
      </c>
      <c r="Q339">
        <v>5</v>
      </c>
      <c r="R339">
        <f>O339*P339</f>
        <v>1474</v>
      </c>
      <c r="S339" t="s">
        <v>27</v>
      </c>
      <c r="T339" t="str">
        <f>TRIM(S339)</f>
        <v>Card</v>
      </c>
      <c r="U339">
        <v>135</v>
      </c>
      <c r="V339" t="s">
        <v>46</v>
      </c>
      <c r="W339">
        <v>0</v>
      </c>
    </row>
    <row r="340" spans="1:23" hidden="1" x14ac:dyDescent="0.3">
      <c r="A340" t="s">
        <v>573</v>
      </c>
      <c r="B340" s="2">
        <v>46161</v>
      </c>
      <c r="C340" s="2" t="str">
        <v>May</v>
      </c>
      <c r="D340" t="s">
        <v>143</v>
      </c>
      <c r="E340" t="s">
        <v>101</v>
      </c>
      <c r="F340" t="str">
        <f>TRIM(E340)</f>
        <v>Arjun</v>
      </c>
      <c r="G340" t="s">
        <v>36</v>
      </c>
      <c r="H340">
        <v>73</v>
      </c>
      <c r="I340" t="str">
        <f t="shared" si="5"/>
        <v>Delhi</v>
      </c>
      <c r="J340" t="s">
        <v>90</v>
      </c>
      <c r="K340">
        <f ca="1"/>
        <v>41</v>
      </c>
      <c r="N340" t="s">
        <v>18</v>
      </c>
      <c r="O340">
        <v>1</v>
      </c>
      <c r="P340">
        <v>31681</v>
      </c>
      <c r="Q340">
        <v>15</v>
      </c>
      <c r="R340">
        <f>O340*P340</f>
        <v>31681</v>
      </c>
      <c r="S340" t="s">
        <v>27</v>
      </c>
      <c r="T340" t="str">
        <f>TRIM(S340)</f>
        <v>Card</v>
      </c>
      <c r="U340">
        <v>135</v>
      </c>
      <c r="V340" t="s">
        <v>20</v>
      </c>
      <c r="W340">
        <v>5</v>
      </c>
    </row>
    <row r="341" spans="1:23" hidden="1" x14ac:dyDescent="0.3">
      <c r="A341" t="s">
        <v>574</v>
      </c>
      <c r="B341" s="2">
        <v>46084</v>
      </c>
      <c r="C341" s="2" t="str">
        <v>Mar</v>
      </c>
      <c r="D341" t="s">
        <v>52</v>
      </c>
      <c r="E341" t="s">
        <v>53</v>
      </c>
      <c r="F341" t="str">
        <f>TRIM(E341)</f>
        <v>Isha</v>
      </c>
      <c r="G341" t="s">
        <v>81</v>
      </c>
      <c r="H341">
        <v>35</v>
      </c>
      <c r="I341" t="str">
        <f t="shared" si="5"/>
        <v>Faridabad</v>
      </c>
      <c r="J341" t="s">
        <v>54</v>
      </c>
      <c r="K341">
        <f ca="1"/>
        <v>31</v>
      </c>
      <c r="N341" t="s">
        <v>55</v>
      </c>
      <c r="O341">
        <v>1</v>
      </c>
      <c r="P341">
        <v>3400</v>
      </c>
      <c r="Q341">
        <v>10</v>
      </c>
      <c r="R341">
        <f>O341*P341</f>
        <v>3400</v>
      </c>
      <c r="S341" t="s">
        <v>56</v>
      </c>
      <c r="T341" t="str">
        <f>TRIM(S341)</f>
        <v>COD</v>
      </c>
      <c r="U341">
        <v>129</v>
      </c>
      <c r="V341" t="s">
        <v>20</v>
      </c>
      <c r="W341">
        <v>6</v>
      </c>
    </row>
    <row r="342" spans="1:23" hidden="1" x14ac:dyDescent="0.3">
      <c r="A342" t="s">
        <v>575</v>
      </c>
      <c r="B342" s="2">
        <v>46044</v>
      </c>
      <c r="C342" s="2" t="str">
        <v>Jan</v>
      </c>
      <c r="D342" t="s">
        <v>167</v>
      </c>
      <c r="E342" t="s">
        <v>161</v>
      </c>
      <c r="F342" t="str">
        <f>TRIM(E342)</f>
        <v>Ananya</v>
      </c>
      <c r="G342" t="s">
        <v>36</v>
      </c>
      <c r="H342">
        <v>73</v>
      </c>
      <c r="I342" t="str">
        <f t="shared" si="5"/>
        <v>Delhi</v>
      </c>
      <c r="J342" t="s">
        <v>88</v>
      </c>
      <c r="K342">
        <f ca="1"/>
        <v>17</v>
      </c>
      <c r="N342" t="s">
        <v>26</v>
      </c>
      <c r="O342">
        <v>4</v>
      </c>
      <c r="P342">
        <v>1372</v>
      </c>
      <c r="Q342">
        <v>15</v>
      </c>
      <c r="R342">
        <f>O342*P342</f>
        <v>5488</v>
      </c>
      <c r="S342" t="s">
        <v>56</v>
      </c>
      <c r="T342" t="str">
        <f>TRIM(S342)</f>
        <v>COD</v>
      </c>
      <c r="U342">
        <v>129</v>
      </c>
      <c r="V342" t="s">
        <v>20</v>
      </c>
      <c r="W342">
        <v>1</v>
      </c>
    </row>
    <row r="343" spans="1:23" hidden="1" x14ac:dyDescent="0.3">
      <c r="A343" t="s">
        <v>576</v>
      </c>
      <c r="B343" s="2">
        <v>46050</v>
      </c>
      <c r="C343" s="2" t="str">
        <v>Jan</v>
      </c>
      <c r="D343" t="s">
        <v>228</v>
      </c>
      <c r="E343" t="s">
        <v>15</v>
      </c>
      <c r="F343" t="str">
        <f>TRIM(E343)</f>
        <v>Aditya</v>
      </c>
      <c r="G343" t="s">
        <v>36</v>
      </c>
      <c r="H343">
        <v>73</v>
      </c>
      <c r="I343" t="str">
        <f t="shared" si="5"/>
        <v>Delhi</v>
      </c>
      <c r="J343" t="s">
        <v>131</v>
      </c>
      <c r="K343">
        <f ca="1"/>
        <v>27</v>
      </c>
      <c r="N343" t="s">
        <v>55</v>
      </c>
      <c r="O343">
        <v>3</v>
      </c>
      <c r="P343">
        <v>2500</v>
      </c>
      <c r="Q343">
        <v>15</v>
      </c>
      <c r="R343">
        <f>O343*P343</f>
        <v>7500</v>
      </c>
      <c r="S343" t="s">
        <v>27</v>
      </c>
      <c r="T343" t="str">
        <f>TRIM(S343)</f>
        <v>Card</v>
      </c>
      <c r="U343">
        <v>135</v>
      </c>
      <c r="V343" t="s">
        <v>20</v>
      </c>
      <c r="W343">
        <v>4</v>
      </c>
    </row>
    <row r="344" spans="1:23" hidden="1" x14ac:dyDescent="0.3">
      <c r="A344" t="s">
        <v>577</v>
      </c>
      <c r="B344" s="2">
        <v>46179</v>
      </c>
      <c r="C344" s="2" t="str">
        <v>Jun</v>
      </c>
      <c r="D344" t="s">
        <v>578</v>
      </c>
      <c r="E344" t="s">
        <v>184</v>
      </c>
      <c r="F344" t="str">
        <f>TRIM(E344)</f>
        <v>Kavya</v>
      </c>
      <c r="G344" t="s">
        <v>40</v>
      </c>
      <c r="H344">
        <v>69</v>
      </c>
      <c r="I344" t="str">
        <f t="shared" si="5"/>
        <v>Gurugram</v>
      </c>
      <c r="J344" t="s">
        <v>82</v>
      </c>
      <c r="K344">
        <f ca="1"/>
        <v>33</v>
      </c>
      <c r="N344" t="s">
        <v>50</v>
      </c>
      <c r="O344">
        <v>2</v>
      </c>
      <c r="P344">
        <v>373</v>
      </c>
      <c r="Q344">
        <v>15</v>
      </c>
      <c r="R344">
        <f>O344*P344</f>
        <v>746</v>
      </c>
      <c r="S344" t="s">
        <v>56</v>
      </c>
      <c r="T344" t="str">
        <f>TRIM(S344)</f>
        <v>COD</v>
      </c>
      <c r="U344">
        <v>129</v>
      </c>
      <c r="V344" t="s">
        <v>139</v>
      </c>
      <c r="W344">
        <v>5</v>
      </c>
    </row>
    <row r="345" spans="1:23" hidden="1" x14ac:dyDescent="0.3">
      <c r="A345" t="s">
        <v>579</v>
      </c>
      <c r="B345" s="2">
        <v>46042</v>
      </c>
      <c r="C345" s="2" t="str">
        <v>Jan</v>
      </c>
      <c r="D345" t="s">
        <v>179</v>
      </c>
      <c r="E345" t="s">
        <v>23</v>
      </c>
      <c r="F345" t="str">
        <f>TRIM(E345)</f>
        <v>Pooja</v>
      </c>
      <c r="G345" t="s">
        <v>65</v>
      </c>
      <c r="H345">
        <v>36</v>
      </c>
      <c r="I345" t="str">
        <f t="shared" si="5"/>
        <v>Jaipur</v>
      </c>
      <c r="J345" t="s">
        <v>85</v>
      </c>
      <c r="K345">
        <f ca="1"/>
        <v>30</v>
      </c>
      <c r="N345" t="s">
        <v>45</v>
      </c>
      <c r="O345">
        <v>1</v>
      </c>
      <c r="P345">
        <v>600</v>
      </c>
      <c r="Q345">
        <v>10</v>
      </c>
      <c r="R345">
        <f>O345*P345</f>
        <v>600</v>
      </c>
      <c r="S345" t="s">
        <v>27</v>
      </c>
      <c r="T345" t="str">
        <f>TRIM(S345)</f>
        <v>Card</v>
      </c>
      <c r="U345">
        <v>135</v>
      </c>
      <c r="V345" t="s">
        <v>20</v>
      </c>
      <c r="W345">
        <v>2</v>
      </c>
    </row>
    <row r="346" spans="1:23" x14ac:dyDescent="0.3">
      <c r="A346" t="s">
        <v>580</v>
      </c>
      <c r="B346" s="2">
        <v>46180</v>
      </c>
      <c r="C346" s="2" t="str">
        <v>Jun</v>
      </c>
      <c r="D346" t="s">
        <v>376</v>
      </c>
      <c r="E346" t="s">
        <v>43</v>
      </c>
      <c r="F346" t="str">
        <f>TRIM(E346)</f>
        <v>Aarav</v>
      </c>
      <c r="G346" t="s">
        <v>31</v>
      </c>
      <c r="H346">
        <v>64</v>
      </c>
      <c r="I346" t="str">
        <f t="shared" si="5"/>
        <v>Noida</v>
      </c>
      <c r="J346" t="s">
        <v>62</v>
      </c>
      <c r="K346">
        <f ca="1"/>
        <v>33</v>
      </c>
      <c r="N346" t="s">
        <v>50</v>
      </c>
      <c r="O346">
        <v>1</v>
      </c>
      <c r="P346">
        <v>1833</v>
      </c>
      <c r="Q346">
        <v>15</v>
      </c>
      <c r="R346">
        <f>O346*P346</f>
        <v>1833</v>
      </c>
      <c r="S346" t="s">
        <v>27</v>
      </c>
      <c r="T346" t="str">
        <f>TRIM(S346)</f>
        <v>Card</v>
      </c>
      <c r="U346">
        <v>135</v>
      </c>
      <c r="V346" t="s">
        <v>20</v>
      </c>
      <c r="W346">
        <v>3</v>
      </c>
    </row>
    <row r="347" spans="1:23" hidden="1" x14ac:dyDescent="0.3">
      <c r="A347" t="s">
        <v>581</v>
      </c>
      <c r="B347" s="2">
        <v>46121</v>
      </c>
      <c r="C347" s="2" t="str">
        <v>Apr</v>
      </c>
      <c r="D347" t="s">
        <v>582</v>
      </c>
      <c r="E347" t="s">
        <v>75</v>
      </c>
      <c r="F347" t="str">
        <f>TRIM(E347)</f>
        <v>Sneha</v>
      </c>
      <c r="G347" t="s">
        <v>24</v>
      </c>
      <c r="H347">
        <v>35</v>
      </c>
      <c r="I347" t="str">
        <f t="shared" si="5"/>
        <v>Chandigarh</v>
      </c>
      <c r="J347" t="s">
        <v>131</v>
      </c>
      <c r="K347">
        <f ca="1"/>
        <v>27</v>
      </c>
      <c r="N347" t="s">
        <v>55</v>
      </c>
      <c r="O347">
        <v>1</v>
      </c>
      <c r="P347">
        <v>1400</v>
      </c>
      <c r="Q347">
        <v>0</v>
      </c>
      <c r="R347">
        <f>O347*P347</f>
        <v>1400</v>
      </c>
      <c r="S347" t="s">
        <v>27</v>
      </c>
      <c r="T347" t="str">
        <f>TRIM(S347)</f>
        <v>Card</v>
      </c>
      <c r="U347">
        <v>135</v>
      </c>
      <c r="V347" t="s">
        <v>20</v>
      </c>
      <c r="W347">
        <v>3</v>
      </c>
    </row>
    <row r="348" spans="1:23" hidden="1" x14ac:dyDescent="0.3">
      <c r="A348" t="s">
        <v>583</v>
      </c>
      <c r="B348" s="2">
        <v>46042</v>
      </c>
      <c r="C348" s="2" t="str">
        <v>Jan</v>
      </c>
      <c r="D348" t="s">
        <v>179</v>
      </c>
      <c r="E348" t="s">
        <v>23</v>
      </c>
      <c r="F348" t="str">
        <f>TRIM(E348)</f>
        <v>Pooja</v>
      </c>
      <c r="G348" t="s">
        <v>117</v>
      </c>
      <c r="H348">
        <v>40</v>
      </c>
      <c r="I348" t="str">
        <f t="shared" si="5"/>
        <v>Ghaziabad</v>
      </c>
      <c r="J348" t="s">
        <v>85</v>
      </c>
      <c r="K348">
        <f ca="1"/>
        <v>30</v>
      </c>
      <c r="N348" t="s">
        <v>45</v>
      </c>
      <c r="O348">
        <v>1</v>
      </c>
      <c r="P348">
        <v>800</v>
      </c>
      <c r="Q348">
        <v>10</v>
      </c>
      <c r="R348">
        <f>O348*P348</f>
        <v>800</v>
      </c>
      <c r="S348" t="s">
        <v>27</v>
      </c>
      <c r="T348" t="str">
        <f>TRIM(S348)</f>
        <v>Card</v>
      </c>
      <c r="U348">
        <v>135</v>
      </c>
      <c r="V348" t="s">
        <v>20</v>
      </c>
      <c r="W348">
        <v>2</v>
      </c>
    </row>
    <row r="349" spans="1:23" hidden="1" x14ac:dyDescent="0.3">
      <c r="A349" t="s">
        <v>584</v>
      </c>
      <c r="B349" s="2">
        <v>46034</v>
      </c>
      <c r="C349" s="2" t="str">
        <v>Jan</v>
      </c>
      <c r="D349" t="s">
        <v>425</v>
      </c>
      <c r="E349" t="s">
        <v>43</v>
      </c>
      <c r="F349" t="str">
        <f>TRIM(E349)</f>
        <v>Aarav</v>
      </c>
      <c r="G349" t="s">
        <v>40</v>
      </c>
      <c r="H349">
        <v>69</v>
      </c>
      <c r="I349" t="str">
        <f t="shared" si="5"/>
        <v>Gurugram</v>
      </c>
      <c r="J349" t="s">
        <v>44</v>
      </c>
      <c r="K349">
        <f ca="1"/>
        <v>29</v>
      </c>
      <c r="N349" t="s">
        <v>45</v>
      </c>
      <c r="O349">
        <v>3</v>
      </c>
      <c r="P349">
        <v>1100</v>
      </c>
      <c r="Q349">
        <v>10</v>
      </c>
      <c r="R349">
        <f>O349*P349</f>
        <v>3300</v>
      </c>
      <c r="S349" t="s">
        <v>91</v>
      </c>
      <c r="T349" t="str">
        <f>TRIM(S349)</f>
        <v>Net Banking</v>
      </c>
      <c r="U349">
        <v>36</v>
      </c>
      <c r="V349" t="s">
        <v>20</v>
      </c>
      <c r="W349">
        <v>3</v>
      </c>
    </row>
    <row r="350" spans="1:23" hidden="1" x14ac:dyDescent="0.3">
      <c r="A350" t="s">
        <v>585</v>
      </c>
      <c r="B350" s="2">
        <v>46097</v>
      </c>
      <c r="C350" s="2" t="str">
        <v>Mar</v>
      </c>
      <c r="D350" t="s">
        <v>283</v>
      </c>
      <c r="E350" t="s">
        <v>35</v>
      </c>
      <c r="F350" t="str">
        <f>TRIM(E350)</f>
        <v>Rohan</v>
      </c>
      <c r="G350" t="s">
        <v>36</v>
      </c>
      <c r="H350">
        <v>73</v>
      </c>
      <c r="I350" t="str">
        <f t="shared" si="5"/>
        <v>Delhi</v>
      </c>
      <c r="J350" t="s">
        <v>49</v>
      </c>
      <c r="K350">
        <f ca="1"/>
        <v>29</v>
      </c>
      <c r="N350" t="s">
        <v>50</v>
      </c>
      <c r="O350">
        <v>2</v>
      </c>
      <c r="P350">
        <v>2198</v>
      </c>
      <c r="Q350">
        <v>10</v>
      </c>
      <c r="R350">
        <f>O350*P350</f>
        <v>4396</v>
      </c>
      <c r="S350" t="s">
        <v>19</v>
      </c>
      <c r="T350" t="str">
        <f>TRIM(S350)</f>
        <v>UPI</v>
      </c>
      <c r="U350">
        <v>200</v>
      </c>
      <c r="V350" t="s">
        <v>20</v>
      </c>
      <c r="W350">
        <v>3</v>
      </c>
    </row>
    <row r="351" spans="1:23" hidden="1" x14ac:dyDescent="0.3">
      <c r="A351" t="s">
        <v>586</v>
      </c>
      <c r="B351" s="2">
        <v>46093</v>
      </c>
      <c r="C351" s="2" t="str">
        <v>Mar</v>
      </c>
      <c r="D351" t="s">
        <v>302</v>
      </c>
      <c r="E351" t="s">
        <v>231</v>
      </c>
      <c r="F351" t="str">
        <f>TRIM(E351)</f>
        <v>Vivek</v>
      </c>
      <c r="G351" t="s">
        <v>117</v>
      </c>
      <c r="H351">
        <v>40</v>
      </c>
      <c r="I351" t="str">
        <f t="shared" si="5"/>
        <v>Ghaziabad</v>
      </c>
      <c r="J351" t="s">
        <v>32</v>
      </c>
      <c r="K351">
        <f ca="1"/>
        <v>36</v>
      </c>
      <c r="N351" t="s">
        <v>18</v>
      </c>
      <c r="O351">
        <v>1</v>
      </c>
      <c r="P351">
        <v>38853</v>
      </c>
      <c r="Q351">
        <v>10</v>
      </c>
      <c r="R351">
        <f>O351*P351</f>
        <v>38853</v>
      </c>
      <c r="S351" t="s">
        <v>56</v>
      </c>
      <c r="T351" t="str">
        <f>TRIM(S351)</f>
        <v>COD</v>
      </c>
      <c r="U351">
        <v>129</v>
      </c>
      <c r="V351" t="s">
        <v>20</v>
      </c>
      <c r="W351">
        <v>6</v>
      </c>
    </row>
    <row r="352" spans="1:23" hidden="1" x14ac:dyDescent="0.3">
      <c r="A352" t="s">
        <v>587</v>
      </c>
      <c r="B352" s="2">
        <v>46062</v>
      </c>
      <c r="C352" s="2" t="str">
        <v>Feb</v>
      </c>
      <c r="D352" t="s">
        <v>508</v>
      </c>
      <c r="E352" t="s">
        <v>39</v>
      </c>
      <c r="F352" t="str">
        <f>TRIM(E352)</f>
        <v>Aman</v>
      </c>
      <c r="G352" t="s">
        <v>16</v>
      </c>
      <c r="H352">
        <v>49</v>
      </c>
      <c r="I352" t="str">
        <f t="shared" si="5"/>
        <v>Lucknow</v>
      </c>
      <c r="J352" t="s">
        <v>85</v>
      </c>
      <c r="K352">
        <f ca="1"/>
        <v>30</v>
      </c>
      <c r="N352" t="s">
        <v>45</v>
      </c>
      <c r="O352">
        <v>3</v>
      </c>
      <c r="P352">
        <v>1300</v>
      </c>
      <c r="Q352">
        <v>20</v>
      </c>
      <c r="R352">
        <f>O352*P352</f>
        <v>3900</v>
      </c>
      <c r="S352" t="s">
        <v>27</v>
      </c>
      <c r="T352" t="str">
        <f>TRIM(S352)</f>
        <v>Card</v>
      </c>
      <c r="U352">
        <v>135</v>
      </c>
      <c r="V352" t="s">
        <v>20</v>
      </c>
      <c r="W352">
        <v>3</v>
      </c>
    </row>
    <row r="353" spans="1:23" hidden="1" x14ac:dyDescent="0.3">
      <c r="A353" t="s">
        <v>588</v>
      </c>
      <c r="B353" s="2">
        <v>46058</v>
      </c>
      <c r="C353" s="2" t="str">
        <v>Feb</v>
      </c>
      <c r="D353" t="s">
        <v>129</v>
      </c>
      <c r="E353" t="s">
        <v>35</v>
      </c>
      <c r="F353" t="str">
        <f>TRIM(E353)</f>
        <v>Rohan</v>
      </c>
      <c r="G353" t="s">
        <v>36</v>
      </c>
      <c r="H353">
        <v>73</v>
      </c>
      <c r="I353" t="str">
        <f t="shared" si="5"/>
        <v>Delhi</v>
      </c>
      <c r="J353" t="s">
        <v>88</v>
      </c>
      <c r="K353">
        <f ca="1"/>
        <v>17</v>
      </c>
      <c r="N353" t="s">
        <v>26</v>
      </c>
      <c r="O353">
        <v>1</v>
      </c>
      <c r="P353">
        <v>607</v>
      </c>
      <c r="Q353">
        <v>15</v>
      </c>
      <c r="R353">
        <f>O353*P353</f>
        <v>607</v>
      </c>
      <c r="S353" t="s">
        <v>19</v>
      </c>
      <c r="T353" t="str">
        <f>TRIM(S353)</f>
        <v>UPI</v>
      </c>
      <c r="U353">
        <v>200</v>
      </c>
      <c r="V353" t="s">
        <v>20</v>
      </c>
      <c r="W353">
        <v>3</v>
      </c>
    </row>
    <row r="354" spans="1:23" hidden="1" x14ac:dyDescent="0.3">
      <c r="A354" t="s">
        <v>589</v>
      </c>
      <c r="B354" s="2">
        <v>46196</v>
      </c>
      <c r="C354" s="2" t="str">
        <v>Jun</v>
      </c>
      <c r="D354" t="s">
        <v>320</v>
      </c>
      <c r="E354" t="s">
        <v>75</v>
      </c>
      <c r="F354" t="str">
        <f>TRIM(E354)</f>
        <v>Sneha</v>
      </c>
      <c r="G354" t="s">
        <v>117</v>
      </c>
      <c r="H354">
        <v>40</v>
      </c>
      <c r="I354" t="str">
        <f t="shared" si="5"/>
        <v>Ghaziabad</v>
      </c>
      <c r="J354" t="s">
        <v>17</v>
      </c>
      <c r="K354">
        <f ca="1"/>
        <v>55</v>
      </c>
      <c r="N354" t="s">
        <v>18</v>
      </c>
      <c r="O354">
        <v>3</v>
      </c>
      <c r="P354">
        <v>47818</v>
      </c>
      <c r="Q354">
        <v>0</v>
      </c>
      <c r="R354">
        <f>O354*P354</f>
        <v>143454</v>
      </c>
      <c r="S354" t="s">
        <v>56</v>
      </c>
      <c r="T354" t="str">
        <f>TRIM(S354)</f>
        <v>COD</v>
      </c>
      <c r="U354">
        <v>129</v>
      </c>
      <c r="V354" t="s">
        <v>20</v>
      </c>
      <c r="W354">
        <v>4</v>
      </c>
    </row>
    <row r="355" spans="1:23" hidden="1" x14ac:dyDescent="0.3">
      <c r="A355" t="s">
        <v>590</v>
      </c>
      <c r="B355" s="2">
        <v>46185</v>
      </c>
      <c r="C355" s="2" t="str">
        <v>Jun</v>
      </c>
      <c r="D355" t="s">
        <v>169</v>
      </c>
      <c r="E355" t="s">
        <v>75</v>
      </c>
      <c r="F355" t="str">
        <f>TRIM(E355)</f>
        <v>Sneha</v>
      </c>
      <c r="G355" t="s">
        <v>36</v>
      </c>
      <c r="H355">
        <v>73</v>
      </c>
      <c r="I355" t="str">
        <f t="shared" si="5"/>
        <v>Delhi</v>
      </c>
      <c r="J355" t="s">
        <v>156</v>
      </c>
      <c r="K355">
        <f ca="1"/>
        <v>35</v>
      </c>
      <c r="N355" t="s">
        <v>18</v>
      </c>
      <c r="O355">
        <v>1</v>
      </c>
      <c r="P355">
        <v>26302</v>
      </c>
      <c r="Q355">
        <v>10</v>
      </c>
      <c r="R355">
        <f>O355*P355</f>
        <v>26302</v>
      </c>
      <c r="S355" t="s">
        <v>91</v>
      </c>
      <c r="T355" t="str">
        <f>TRIM(S355)</f>
        <v>Net Banking</v>
      </c>
      <c r="U355">
        <v>36</v>
      </c>
      <c r="V355" t="s">
        <v>20</v>
      </c>
      <c r="W355">
        <v>3</v>
      </c>
    </row>
    <row r="356" spans="1:23" x14ac:dyDescent="0.3">
      <c r="A356" t="s">
        <v>591</v>
      </c>
      <c r="B356" s="2">
        <v>46141</v>
      </c>
      <c r="C356" s="2" t="str">
        <v>Apr</v>
      </c>
      <c r="D356" t="s">
        <v>153</v>
      </c>
      <c r="E356" t="s">
        <v>80</v>
      </c>
      <c r="F356" t="str">
        <f>TRIM(E356)</f>
        <v>Varun</v>
      </c>
      <c r="G356" t="s">
        <v>31</v>
      </c>
      <c r="H356">
        <v>64</v>
      </c>
      <c r="I356" t="str">
        <f t="shared" si="5"/>
        <v>Noida</v>
      </c>
      <c r="J356" t="s">
        <v>82</v>
      </c>
      <c r="K356">
        <f ca="1"/>
        <v>33</v>
      </c>
      <c r="N356" t="s">
        <v>50</v>
      </c>
      <c r="O356">
        <v>1</v>
      </c>
      <c r="P356">
        <v>2417</v>
      </c>
      <c r="Q356">
        <v>10</v>
      </c>
      <c r="R356">
        <f>O356*P356</f>
        <v>2417</v>
      </c>
      <c r="S356" t="s">
        <v>56</v>
      </c>
      <c r="T356" t="str">
        <f>TRIM(S356)</f>
        <v>COD</v>
      </c>
      <c r="U356">
        <v>129</v>
      </c>
      <c r="V356" t="s">
        <v>20</v>
      </c>
      <c r="W356">
        <v>2</v>
      </c>
    </row>
    <row r="357" spans="1:23" hidden="1" x14ac:dyDescent="0.3">
      <c r="A357" t="s">
        <v>592</v>
      </c>
      <c r="B357" s="2">
        <v>46056</v>
      </c>
      <c r="C357" s="2" t="str">
        <v>Feb</v>
      </c>
      <c r="D357" t="s">
        <v>566</v>
      </c>
      <c r="E357" t="s">
        <v>61</v>
      </c>
      <c r="F357" t="str">
        <f>TRIM(E357)</f>
        <v>Nikhil</v>
      </c>
      <c r="G357" t="s">
        <v>40</v>
      </c>
      <c r="H357">
        <v>69</v>
      </c>
      <c r="I357" t="str">
        <f t="shared" si="5"/>
        <v>Gurugram</v>
      </c>
      <c r="J357" t="s">
        <v>90</v>
      </c>
      <c r="K357">
        <f ca="1"/>
        <v>41</v>
      </c>
      <c r="N357" t="s">
        <v>18</v>
      </c>
      <c r="O357">
        <v>1</v>
      </c>
      <c r="P357">
        <v>35267</v>
      </c>
      <c r="Q357">
        <v>10</v>
      </c>
      <c r="R357">
        <f>O357*P357</f>
        <v>35267</v>
      </c>
      <c r="S357" t="s">
        <v>91</v>
      </c>
      <c r="T357" t="str">
        <f>TRIM(S357)</f>
        <v>Net Banking</v>
      </c>
      <c r="U357">
        <v>36</v>
      </c>
      <c r="V357" t="s">
        <v>20</v>
      </c>
      <c r="W357">
        <v>3</v>
      </c>
    </row>
    <row r="358" spans="1:23" x14ac:dyDescent="0.3">
      <c r="A358" t="s">
        <v>593</v>
      </c>
      <c r="B358" s="2">
        <v>46115</v>
      </c>
      <c r="C358" s="2" t="str">
        <v>Apr</v>
      </c>
      <c r="D358" t="s">
        <v>104</v>
      </c>
      <c r="E358" t="s">
        <v>35</v>
      </c>
      <c r="F358" t="str">
        <f>TRIM(E358)</f>
        <v>Rohan</v>
      </c>
      <c r="G358" t="s">
        <v>31</v>
      </c>
      <c r="H358">
        <v>64</v>
      </c>
      <c r="I358" t="str">
        <f t="shared" si="5"/>
        <v>Noida</v>
      </c>
      <c r="J358" t="s">
        <v>32</v>
      </c>
      <c r="K358">
        <f ca="1"/>
        <v>36</v>
      </c>
      <c r="N358" t="s">
        <v>18</v>
      </c>
      <c r="O358">
        <v>1</v>
      </c>
      <c r="P358">
        <v>29888</v>
      </c>
      <c r="Q358">
        <v>5</v>
      </c>
      <c r="R358">
        <f>O358*P358</f>
        <v>29888</v>
      </c>
      <c r="S358" t="s">
        <v>91</v>
      </c>
      <c r="T358" t="str">
        <f>TRIM(S358)</f>
        <v>Net Banking</v>
      </c>
      <c r="U358">
        <v>36</v>
      </c>
      <c r="V358" t="s">
        <v>20</v>
      </c>
      <c r="W358">
        <v>3</v>
      </c>
    </row>
    <row r="359" spans="1:23" x14ac:dyDescent="0.3">
      <c r="A359" t="s">
        <v>594</v>
      </c>
      <c r="B359" s="2">
        <v>46104</v>
      </c>
      <c r="C359" s="2" t="str">
        <v>Mar</v>
      </c>
      <c r="D359" t="s">
        <v>370</v>
      </c>
      <c r="E359" t="s">
        <v>231</v>
      </c>
      <c r="F359" t="str">
        <f>TRIM(E359)</f>
        <v>Vivek</v>
      </c>
      <c r="G359" t="s">
        <v>31</v>
      </c>
      <c r="H359">
        <v>64</v>
      </c>
      <c r="I359" t="str">
        <f t="shared" si="5"/>
        <v>Noida</v>
      </c>
      <c r="J359" t="s">
        <v>44</v>
      </c>
      <c r="K359">
        <f ca="1"/>
        <v>29</v>
      </c>
      <c r="N359" t="s">
        <v>45</v>
      </c>
      <c r="O359">
        <v>2</v>
      </c>
      <c r="P359">
        <v>1250</v>
      </c>
      <c r="Q359">
        <v>10</v>
      </c>
      <c r="R359">
        <f>O359*P359</f>
        <v>2500</v>
      </c>
      <c r="S359" t="s">
        <v>19</v>
      </c>
      <c r="T359" t="str">
        <f>TRIM(S359)</f>
        <v>UPI</v>
      </c>
      <c r="U359">
        <v>200</v>
      </c>
      <c r="V359" t="s">
        <v>20</v>
      </c>
      <c r="W359">
        <v>1</v>
      </c>
    </row>
    <row r="360" spans="1:23" hidden="1" x14ac:dyDescent="0.3">
      <c r="A360" t="s">
        <v>595</v>
      </c>
      <c r="B360" s="2">
        <v>46121</v>
      </c>
      <c r="C360" s="2" t="str">
        <v>Apr</v>
      </c>
      <c r="D360" t="s">
        <v>510</v>
      </c>
      <c r="E360" t="s">
        <v>23</v>
      </c>
      <c r="F360" t="str">
        <f>TRIM(E360)</f>
        <v>Pooja</v>
      </c>
      <c r="G360" t="s">
        <v>36</v>
      </c>
      <c r="H360">
        <v>73</v>
      </c>
      <c r="I360" t="str">
        <f t="shared" si="5"/>
        <v>Delhi</v>
      </c>
      <c r="J360" t="s">
        <v>156</v>
      </c>
      <c r="K360">
        <f ca="1"/>
        <v>35</v>
      </c>
      <c r="N360" t="s">
        <v>18</v>
      </c>
      <c r="O360">
        <v>1</v>
      </c>
      <c r="P360">
        <v>1200</v>
      </c>
      <c r="Q360">
        <v>5</v>
      </c>
      <c r="R360">
        <f>O360*P360</f>
        <v>1200</v>
      </c>
      <c r="S360" t="s">
        <v>56</v>
      </c>
      <c r="T360" t="str">
        <f>TRIM(S360)</f>
        <v>COD</v>
      </c>
      <c r="U360">
        <v>129</v>
      </c>
      <c r="V360" t="s">
        <v>20</v>
      </c>
      <c r="W360">
        <v>5</v>
      </c>
    </row>
    <row r="361" spans="1:23" hidden="1" x14ac:dyDescent="0.3">
      <c r="A361" t="s">
        <v>596</v>
      </c>
      <c r="B361" s="2">
        <v>46044</v>
      </c>
      <c r="C361" s="2" t="str">
        <v>Jan</v>
      </c>
      <c r="D361" t="s">
        <v>464</v>
      </c>
      <c r="E361" t="s">
        <v>149</v>
      </c>
      <c r="F361" t="str">
        <f>TRIM(E361)</f>
        <v>Rahul</v>
      </c>
      <c r="G361" t="s">
        <v>81</v>
      </c>
      <c r="H361">
        <v>35</v>
      </c>
      <c r="I361" t="str">
        <f t="shared" si="5"/>
        <v>Faridabad</v>
      </c>
      <c r="J361" t="s">
        <v>62</v>
      </c>
      <c r="K361">
        <f ca="1"/>
        <v>33</v>
      </c>
      <c r="N361" t="s">
        <v>50</v>
      </c>
      <c r="O361">
        <v>2</v>
      </c>
      <c r="P361">
        <v>1103</v>
      </c>
      <c r="Q361">
        <v>20</v>
      </c>
      <c r="R361">
        <f>O361*P361</f>
        <v>2206</v>
      </c>
      <c r="S361" t="s">
        <v>19</v>
      </c>
      <c r="T361" t="str">
        <f>TRIM(S361)</f>
        <v>UPI</v>
      </c>
      <c r="U361">
        <v>200</v>
      </c>
      <c r="V361" t="s">
        <v>20</v>
      </c>
      <c r="W361">
        <v>3</v>
      </c>
    </row>
    <row r="362" spans="1:23" hidden="1" x14ac:dyDescent="0.3">
      <c r="A362" t="s">
        <v>597</v>
      </c>
      <c r="B362" s="2">
        <v>46099</v>
      </c>
      <c r="C362" s="2" t="str">
        <v>Mar</v>
      </c>
      <c r="D362" t="s">
        <v>187</v>
      </c>
      <c r="E362" t="s">
        <v>98</v>
      </c>
      <c r="F362" t="str">
        <f>TRIM(E362)</f>
        <v>Meera</v>
      </c>
      <c r="G362" t="s">
        <v>81</v>
      </c>
      <c r="H362">
        <v>35</v>
      </c>
      <c r="I362" t="str">
        <f t="shared" si="5"/>
        <v>Faridabad</v>
      </c>
      <c r="J362" t="s">
        <v>190</v>
      </c>
      <c r="K362">
        <f ca="1"/>
        <v>54</v>
      </c>
      <c r="N362" t="s">
        <v>55</v>
      </c>
      <c r="O362">
        <v>2</v>
      </c>
      <c r="P362">
        <v>1000</v>
      </c>
      <c r="Q362">
        <v>5</v>
      </c>
      <c r="R362">
        <f>O362*P362</f>
        <v>2000</v>
      </c>
      <c r="S362" t="s">
        <v>56</v>
      </c>
      <c r="T362" t="str">
        <f>TRIM(S362)</f>
        <v>COD</v>
      </c>
      <c r="U362">
        <v>129</v>
      </c>
      <c r="V362" t="s">
        <v>20</v>
      </c>
      <c r="W362">
        <v>6</v>
      </c>
    </row>
    <row r="363" spans="1:23" hidden="1" x14ac:dyDescent="0.3">
      <c r="A363" t="s">
        <v>598</v>
      </c>
      <c r="B363" s="2">
        <v>46111</v>
      </c>
      <c r="C363" s="2" t="str">
        <v>Mar</v>
      </c>
      <c r="D363" t="s">
        <v>187</v>
      </c>
      <c r="E363" t="s">
        <v>98</v>
      </c>
      <c r="F363" t="str">
        <f>TRIM(E363)</f>
        <v>Meera</v>
      </c>
      <c r="G363" t="s">
        <v>40</v>
      </c>
      <c r="H363">
        <v>69</v>
      </c>
      <c r="I363" t="str">
        <f t="shared" si="5"/>
        <v>Gurugram</v>
      </c>
      <c r="J363" t="s">
        <v>95</v>
      </c>
      <c r="K363">
        <f ca="1"/>
        <v>28</v>
      </c>
      <c r="N363" t="s">
        <v>45</v>
      </c>
      <c r="O363">
        <v>2</v>
      </c>
      <c r="P363">
        <v>950</v>
      </c>
      <c r="Q363">
        <v>10</v>
      </c>
      <c r="R363">
        <f>O363*P363</f>
        <v>1900</v>
      </c>
      <c r="S363" t="s">
        <v>56</v>
      </c>
      <c r="T363" t="str">
        <f>TRIM(S363)</f>
        <v>COD</v>
      </c>
      <c r="U363">
        <v>129</v>
      </c>
      <c r="V363" t="s">
        <v>20</v>
      </c>
      <c r="W363">
        <v>1</v>
      </c>
    </row>
    <row r="364" spans="1:23" x14ac:dyDescent="0.3">
      <c r="A364" t="s">
        <v>599</v>
      </c>
      <c r="B364" s="2">
        <v>46094</v>
      </c>
      <c r="C364" s="2" t="str">
        <v>Mar</v>
      </c>
      <c r="D364" t="s">
        <v>14</v>
      </c>
      <c r="E364" t="s">
        <v>15</v>
      </c>
      <c r="F364" t="str">
        <f>TRIM(E364)</f>
        <v>Aditya</v>
      </c>
      <c r="G364" t="s">
        <v>31</v>
      </c>
      <c r="H364">
        <v>64</v>
      </c>
      <c r="I364" t="str">
        <f t="shared" si="5"/>
        <v>Noida</v>
      </c>
      <c r="J364" t="s">
        <v>141</v>
      </c>
      <c r="K364">
        <f ca="1"/>
        <v>34</v>
      </c>
      <c r="N364" t="s">
        <v>50</v>
      </c>
      <c r="O364">
        <v>1</v>
      </c>
      <c r="P364">
        <v>1760</v>
      </c>
      <c r="Q364">
        <v>5</v>
      </c>
      <c r="R364">
        <f>O364*P364</f>
        <v>1760</v>
      </c>
      <c r="S364" t="s">
        <v>19</v>
      </c>
      <c r="T364" t="str">
        <f>TRIM(S364)</f>
        <v>UPI</v>
      </c>
      <c r="U364">
        <v>200</v>
      </c>
      <c r="V364" t="s">
        <v>20</v>
      </c>
      <c r="W364">
        <v>5</v>
      </c>
    </row>
    <row r="365" spans="1:23" hidden="1" x14ac:dyDescent="0.3">
      <c r="A365" t="s">
        <v>600</v>
      </c>
      <c r="B365" s="2">
        <v>46118</v>
      </c>
      <c r="C365" s="2" t="str">
        <v>Apr</v>
      </c>
      <c r="D365" t="s">
        <v>432</v>
      </c>
      <c r="E365" t="s">
        <v>23</v>
      </c>
      <c r="F365" t="str">
        <f>TRIM(E365)</f>
        <v>Pooja</v>
      </c>
      <c r="G365" t="s">
        <v>65</v>
      </c>
      <c r="H365">
        <v>36</v>
      </c>
      <c r="I365" t="str">
        <f t="shared" si="5"/>
        <v>Jaipur</v>
      </c>
      <c r="J365" t="s">
        <v>72</v>
      </c>
      <c r="K365">
        <f ca="1"/>
        <v>14</v>
      </c>
      <c r="N365" t="s">
        <v>45</v>
      </c>
      <c r="O365">
        <v>1</v>
      </c>
      <c r="P365">
        <v>400</v>
      </c>
      <c r="Q365">
        <v>15</v>
      </c>
      <c r="R365">
        <f>O365*P365</f>
        <v>400</v>
      </c>
      <c r="S365" t="s">
        <v>19</v>
      </c>
      <c r="T365" t="str">
        <f>TRIM(S365)</f>
        <v>UPI</v>
      </c>
      <c r="U365">
        <v>200</v>
      </c>
      <c r="V365" t="s">
        <v>20</v>
      </c>
      <c r="W365">
        <v>3</v>
      </c>
    </row>
    <row r="366" spans="1:23" hidden="1" x14ac:dyDescent="0.3">
      <c r="A366" t="s">
        <v>601</v>
      </c>
      <c r="B366" s="2">
        <v>46074</v>
      </c>
      <c r="C366" s="2" t="str">
        <v>Feb</v>
      </c>
      <c r="D366" t="s">
        <v>273</v>
      </c>
      <c r="E366" t="s">
        <v>15</v>
      </c>
      <c r="F366" t="str">
        <f>TRIM(E366)</f>
        <v>Aditya</v>
      </c>
      <c r="G366" t="s">
        <v>81</v>
      </c>
      <c r="H366">
        <v>35</v>
      </c>
      <c r="I366" t="str">
        <f t="shared" si="5"/>
        <v>Faridabad</v>
      </c>
      <c r="J366" t="s">
        <v>17</v>
      </c>
      <c r="K366">
        <f ca="1"/>
        <v>55</v>
      </c>
      <c r="N366" t="s">
        <v>18</v>
      </c>
      <c r="O366">
        <v>1</v>
      </c>
      <c r="P366">
        <v>46025</v>
      </c>
      <c r="Q366">
        <v>10</v>
      </c>
      <c r="R366">
        <f>O366*P366</f>
        <v>46025</v>
      </c>
      <c r="S366" t="s">
        <v>56</v>
      </c>
      <c r="T366" t="str">
        <f>TRIM(S366)</f>
        <v>COD</v>
      </c>
      <c r="U366">
        <v>129</v>
      </c>
      <c r="V366" t="s">
        <v>20</v>
      </c>
      <c r="W366">
        <v>4</v>
      </c>
    </row>
    <row r="367" spans="1:23" hidden="1" x14ac:dyDescent="0.3">
      <c r="A367" t="s">
        <v>602</v>
      </c>
      <c r="B367" s="2">
        <v>46136</v>
      </c>
      <c r="C367" s="2" t="str">
        <v>Apr</v>
      </c>
      <c r="D367" t="s">
        <v>192</v>
      </c>
      <c r="E367" t="s">
        <v>98</v>
      </c>
      <c r="F367" t="str">
        <f>TRIM(E367)</f>
        <v>Meera</v>
      </c>
      <c r="G367" t="s">
        <v>36</v>
      </c>
      <c r="H367">
        <v>73</v>
      </c>
      <c r="I367" t="str">
        <f t="shared" si="5"/>
        <v>Delhi</v>
      </c>
      <c r="J367" t="s">
        <v>127</v>
      </c>
      <c r="K367">
        <f ca="1"/>
        <v>41</v>
      </c>
      <c r="N367" t="s">
        <v>55</v>
      </c>
      <c r="O367">
        <v>1</v>
      </c>
      <c r="P367">
        <v>2600</v>
      </c>
      <c r="Q367">
        <v>10</v>
      </c>
      <c r="R367">
        <f>O367*P367</f>
        <v>2600</v>
      </c>
      <c r="S367" t="s">
        <v>19</v>
      </c>
      <c r="T367" t="str">
        <f>TRIM(S367)</f>
        <v>UPI</v>
      </c>
      <c r="U367">
        <v>200</v>
      </c>
      <c r="V367" t="s">
        <v>20</v>
      </c>
      <c r="W367">
        <v>5</v>
      </c>
    </row>
    <row r="368" spans="1:23" hidden="1" x14ac:dyDescent="0.3">
      <c r="A368" t="s">
        <v>603</v>
      </c>
      <c r="B368" s="2">
        <v>46133</v>
      </c>
      <c r="C368" s="2" t="str">
        <v>Apr</v>
      </c>
      <c r="D368" t="s">
        <v>121</v>
      </c>
      <c r="E368" t="s">
        <v>109</v>
      </c>
      <c r="F368" t="str">
        <f>TRIM(E368)</f>
        <v>Neha</v>
      </c>
      <c r="G368" t="s">
        <v>65</v>
      </c>
      <c r="H368">
        <v>36</v>
      </c>
      <c r="I368" t="str">
        <f t="shared" si="5"/>
        <v>Jaipur</v>
      </c>
      <c r="J368" t="s">
        <v>127</v>
      </c>
      <c r="K368">
        <f ca="1"/>
        <v>41</v>
      </c>
      <c r="N368" t="s">
        <v>55</v>
      </c>
      <c r="O368">
        <v>2</v>
      </c>
      <c r="P368">
        <v>3200</v>
      </c>
      <c r="Q368">
        <v>0</v>
      </c>
      <c r="R368">
        <f>O368*P368</f>
        <v>6400</v>
      </c>
      <c r="S368" t="s">
        <v>27</v>
      </c>
      <c r="T368" t="str">
        <f>TRIM(S368)</f>
        <v>Card</v>
      </c>
      <c r="U368">
        <v>135</v>
      </c>
      <c r="V368" t="s">
        <v>20</v>
      </c>
      <c r="W368">
        <v>5</v>
      </c>
    </row>
    <row r="369" spans="1:23" hidden="1" x14ac:dyDescent="0.3">
      <c r="A369" t="s">
        <v>604</v>
      </c>
      <c r="B369" s="2">
        <v>46052</v>
      </c>
      <c r="C369" s="2" t="str">
        <v>Jan</v>
      </c>
      <c r="D369" t="s">
        <v>345</v>
      </c>
      <c r="E369" t="s">
        <v>61</v>
      </c>
      <c r="F369" t="str">
        <f>TRIM(E369)</f>
        <v>Nikhil</v>
      </c>
      <c r="G369" t="s">
        <v>24</v>
      </c>
      <c r="H369">
        <v>35</v>
      </c>
      <c r="I369" t="str">
        <f t="shared" si="5"/>
        <v>Chandigarh</v>
      </c>
      <c r="J369" t="s">
        <v>113</v>
      </c>
      <c r="K369">
        <f ca="1"/>
        <v>26</v>
      </c>
      <c r="N369" t="s">
        <v>26</v>
      </c>
      <c r="O369">
        <v>2</v>
      </c>
      <c r="P369">
        <v>913</v>
      </c>
      <c r="Q369">
        <v>0</v>
      </c>
      <c r="R369">
        <f>O369*P369</f>
        <v>1826</v>
      </c>
      <c r="S369" t="s">
        <v>19</v>
      </c>
      <c r="T369" t="str">
        <f>TRIM(S369)</f>
        <v>UPI</v>
      </c>
      <c r="U369">
        <v>200</v>
      </c>
      <c r="V369" t="s">
        <v>20</v>
      </c>
      <c r="W369">
        <v>3</v>
      </c>
    </row>
    <row r="370" spans="1:23" hidden="1" x14ac:dyDescent="0.3">
      <c r="A370" t="s">
        <v>605</v>
      </c>
      <c r="B370" s="2">
        <v>46165</v>
      </c>
      <c r="C370" s="2" t="str">
        <v>May</v>
      </c>
      <c r="D370" t="s">
        <v>189</v>
      </c>
      <c r="E370" t="s">
        <v>30</v>
      </c>
      <c r="F370" t="str">
        <f>TRIM(E370)</f>
        <v>Simran</v>
      </c>
      <c r="G370" t="s">
        <v>65</v>
      </c>
      <c r="H370">
        <v>36</v>
      </c>
      <c r="I370" t="str">
        <f t="shared" si="5"/>
        <v>Jaipur</v>
      </c>
      <c r="J370" t="s">
        <v>135</v>
      </c>
      <c r="K370">
        <f ca="1"/>
        <v>28</v>
      </c>
      <c r="N370" t="s">
        <v>50</v>
      </c>
      <c r="O370">
        <v>1</v>
      </c>
      <c r="P370">
        <v>1906</v>
      </c>
      <c r="Q370">
        <v>5</v>
      </c>
      <c r="R370">
        <f>O370*P370</f>
        <v>1906</v>
      </c>
      <c r="S370" t="s">
        <v>56</v>
      </c>
      <c r="T370" t="str">
        <f>TRIM(S370)</f>
        <v>COD</v>
      </c>
      <c r="U370">
        <v>129</v>
      </c>
      <c r="V370" t="s">
        <v>46</v>
      </c>
      <c r="W370">
        <v>0</v>
      </c>
    </row>
    <row r="371" spans="1:23" hidden="1" x14ac:dyDescent="0.3">
      <c r="A371" t="s">
        <v>606</v>
      </c>
      <c r="B371" s="2">
        <v>46023</v>
      </c>
      <c r="C371" s="2" t="str">
        <v>Jan</v>
      </c>
      <c r="D371" t="s">
        <v>207</v>
      </c>
      <c r="E371" t="s">
        <v>53</v>
      </c>
      <c r="F371" t="str">
        <f>TRIM(E371)</f>
        <v>Isha</v>
      </c>
      <c r="G371" t="s">
        <v>16</v>
      </c>
      <c r="H371">
        <v>49</v>
      </c>
      <c r="I371" t="str">
        <f t="shared" si="5"/>
        <v>Lucknow</v>
      </c>
      <c r="J371" t="s">
        <v>68</v>
      </c>
      <c r="K371">
        <f ca="1"/>
        <v>23</v>
      </c>
      <c r="N371" t="s">
        <v>26</v>
      </c>
      <c r="O371">
        <v>1</v>
      </c>
      <c r="P371">
        <v>964</v>
      </c>
      <c r="Q371">
        <v>15</v>
      </c>
      <c r="R371">
        <f>O371*P371</f>
        <v>964</v>
      </c>
      <c r="S371" t="s">
        <v>56</v>
      </c>
      <c r="T371" t="str">
        <f>TRIM(S371)</f>
        <v>COD</v>
      </c>
      <c r="U371">
        <v>129</v>
      </c>
      <c r="V371" t="s">
        <v>20</v>
      </c>
      <c r="W371">
        <v>1</v>
      </c>
    </row>
    <row r="372" spans="1:23" x14ac:dyDescent="0.3">
      <c r="A372" t="s">
        <v>607</v>
      </c>
      <c r="B372" s="2">
        <v>46034</v>
      </c>
      <c r="C372" s="2" t="str">
        <v>Jan</v>
      </c>
      <c r="D372" t="s">
        <v>181</v>
      </c>
      <c r="E372" t="s">
        <v>61</v>
      </c>
      <c r="F372" t="str">
        <f>TRIM(E372)</f>
        <v>Nikhil</v>
      </c>
      <c r="G372" t="s">
        <v>31</v>
      </c>
      <c r="H372">
        <v>64</v>
      </c>
      <c r="I372" t="str">
        <f t="shared" si="5"/>
        <v>Noida</v>
      </c>
      <c r="J372" t="s">
        <v>383</v>
      </c>
      <c r="K372">
        <f ca="1"/>
        <v>18</v>
      </c>
      <c r="N372" t="s">
        <v>26</v>
      </c>
      <c r="O372">
        <v>1</v>
      </c>
      <c r="P372">
        <v>760</v>
      </c>
      <c r="Q372">
        <v>10</v>
      </c>
      <c r="R372">
        <f>O372*P372</f>
        <v>760</v>
      </c>
      <c r="S372" t="s">
        <v>19</v>
      </c>
      <c r="T372" t="str">
        <f>TRIM(S372)</f>
        <v>UPI</v>
      </c>
      <c r="U372">
        <v>200</v>
      </c>
      <c r="V372" t="s">
        <v>20</v>
      </c>
      <c r="W372">
        <v>3</v>
      </c>
    </row>
    <row r="373" spans="1:23" x14ac:dyDescent="0.3">
      <c r="A373" t="s">
        <v>608</v>
      </c>
      <c r="B373" s="2">
        <v>46156</v>
      </c>
      <c r="C373" s="2" t="str">
        <v>May</v>
      </c>
      <c r="D373" t="s">
        <v>22</v>
      </c>
      <c r="E373" t="s">
        <v>23</v>
      </c>
      <c r="F373" t="str">
        <f>TRIM(E373)</f>
        <v>Pooja</v>
      </c>
      <c r="G373" t="s">
        <v>31</v>
      </c>
      <c r="H373">
        <v>64</v>
      </c>
      <c r="I373" t="str">
        <f t="shared" si="5"/>
        <v>Noida</v>
      </c>
      <c r="J373" t="s">
        <v>131</v>
      </c>
      <c r="K373">
        <f ca="1"/>
        <v>27</v>
      </c>
      <c r="N373" t="s">
        <v>55</v>
      </c>
      <c r="O373">
        <v>1</v>
      </c>
      <c r="P373">
        <v>2300</v>
      </c>
      <c r="Q373">
        <v>15</v>
      </c>
      <c r="R373">
        <f>O373*P373</f>
        <v>2300</v>
      </c>
      <c r="S373" t="s">
        <v>19</v>
      </c>
      <c r="T373" t="str">
        <f>TRIM(S373)</f>
        <v>UPI</v>
      </c>
      <c r="U373">
        <v>200</v>
      </c>
      <c r="V373" t="s">
        <v>20</v>
      </c>
      <c r="W373">
        <v>5</v>
      </c>
    </row>
    <row r="374" spans="1:23" hidden="1" x14ac:dyDescent="0.3">
      <c r="A374" t="s">
        <v>609</v>
      </c>
      <c r="B374" s="2">
        <v>46171</v>
      </c>
      <c r="C374" s="2" t="str">
        <v>May</v>
      </c>
      <c r="D374" t="s">
        <v>446</v>
      </c>
      <c r="E374" t="s">
        <v>71</v>
      </c>
      <c r="F374" t="str">
        <f>TRIM(E374)</f>
        <v>Riya</v>
      </c>
      <c r="G374" t="s">
        <v>24</v>
      </c>
      <c r="H374">
        <v>35</v>
      </c>
      <c r="I374" t="str">
        <f t="shared" si="5"/>
        <v>Chandigarh</v>
      </c>
      <c r="J374" t="s">
        <v>62</v>
      </c>
      <c r="K374">
        <f ca="1"/>
        <v>33</v>
      </c>
      <c r="N374" t="s">
        <v>50</v>
      </c>
      <c r="O374">
        <v>1</v>
      </c>
      <c r="P374">
        <v>738</v>
      </c>
      <c r="Q374">
        <v>10</v>
      </c>
      <c r="R374">
        <f>O374*P374</f>
        <v>738</v>
      </c>
      <c r="S374" t="s">
        <v>27</v>
      </c>
      <c r="T374" t="str">
        <f>TRIM(S374)</f>
        <v>Card</v>
      </c>
      <c r="U374">
        <v>135</v>
      </c>
      <c r="V374" t="s">
        <v>20</v>
      </c>
      <c r="W374">
        <v>4</v>
      </c>
    </row>
    <row r="375" spans="1:23" x14ac:dyDescent="0.3">
      <c r="A375" t="s">
        <v>610</v>
      </c>
      <c r="B375" s="2">
        <v>46065</v>
      </c>
      <c r="C375" s="2" t="str">
        <v>Feb</v>
      </c>
      <c r="D375" t="s">
        <v>97</v>
      </c>
      <c r="E375" t="s">
        <v>98</v>
      </c>
      <c r="F375" t="str">
        <f>TRIM(E375)</f>
        <v>Meera</v>
      </c>
      <c r="G375" t="s">
        <v>31</v>
      </c>
      <c r="H375">
        <v>64</v>
      </c>
      <c r="I375" t="str">
        <f t="shared" si="5"/>
        <v>Noida</v>
      </c>
      <c r="J375" t="s">
        <v>124</v>
      </c>
      <c r="K375">
        <f ca="1"/>
        <v>44</v>
      </c>
      <c r="N375" t="s">
        <v>55</v>
      </c>
      <c r="O375">
        <v>2</v>
      </c>
      <c r="P375">
        <v>2100</v>
      </c>
      <c r="Q375">
        <v>10</v>
      </c>
      <c r="R375">
        <f>O375*P375</f>
        <v>4200</v>
      </c>
      <c r="S375" t="s">
        <v>91</v>
      </c>
      <c r="T375" t="str">
        <f>TRIM(S375)</f>
        <v>Net Banking</v>
      </c>
      <c r="U375">
        <v>36</v>
      </c>
      <c r="V375" t="s">
        <v>20</v>
      </c>
      <c r="W375">
        <v>5</v>
      </c>
    </row>
    <row r="376" spans="1:23" x14ac:dyDescent="0.3">
      <c r="A376" t="s">
        <v>611</v>
      </c>
      <c r="B376" s="2">
        <v>46126</v>
      </c>
      <c r="C376" s="2" t="str">
        <v>Apr</v>
      </c>
      <c r="D376" t="s">
        <v>316</v>
      </c>
      <c r="E376" t="s">
        <v>94</v>
      </c>
      <c r="F376" t="str">
        <f>TRIM(E376)</f>
        <v>Karan</v>
      </c>
      <c r="G376" t="s">
        <v>31</v>
      </c>
      <c r="H376">
        <v>64</v>
      </c>
      <c r="I376" t="str">
        <f t="shared" si="5"/>
        <v>Noida</v>
      </c>
      <c r="J376" t="s">
        <v>25</v>
      </c>
      <c r="K376">
        <f ca="1"/>
        <v>20</v>
      </c>
      <c r="N376" t="s">
        <v>26</v>
      </c>
      <c r="O376">
        <v>4</v>
      </c>
      <c r="P376">
        <v>1117</v>
      </c>
      <c r="Q376">
        <v>10</v>
      </c>
      <c r="R376">
        <f>O376*P376</f>
        <v>4468</v>
      </c>
      <c r="S376" t="s">
        <v>91</v>
      </c>
      <c r="T376" t="str">
        <f>TRIM(S376)</f>
        <v>Net Banking</v>
      </c>
      <c r="U376">
        <v>36</v>
      </c>
      <c r="V376" t="s">
        <v>46</v>
      </c>
      <c r="W376">
        <v>0</v>
      </c>
    </row>
    <row r="377" spans="1:23" hidden="1" x14ac:dyDescent="0.3">
      <c r="A377" t="s">
        <v>612</v>
      </c>
      <c r="B377" s="2">
        <v>46154</v>
      </c>
      <c r="C377" s="2" t="str">
        <v>May</v>
      </c>
      <c r="D377" t="s">
        <v>320</v>
      </c>
      <c r="E377" t="s">
        <v>75</v>
      </c>
      <c r="F377" t="str">
        <f>TRIM(E377)</f>
        <v>Sneha</v>
      </c>
      <c r="G377" t="s">
        <v>36</v>
      </c>
      <c r="H377">
        <v>73</v>
      </c>
      <c r="I377" t="str">
        <f t="shared" si="5"/>
        <v>Delhi</v>
      </c>
      <c r="J377" t="s">
        <v>32</v>
      </c>
      <c r="K377">
        <f ca="1"/>
        <v>36</v>
      </c>
      <c r="N377" t="s">
        <v>18</v>
      </c>
      <c r="O377">
        <v>1</v>
      </c>
      <c r="P377">
        <v>54990</v>
      </c>
      <c r="Q377">
        <v>25</v>
      </c>
      <c r="R377">
        <f>O377*P377</f>
        <v>54990</v>
      </c>
      <c r="S377" t="s">
        <v>27</v>
      </c>
      <c r="T377" t="str">
        <f>TRIM(S377)</f>
        <v>Card</v>
      </c>
      <c r="U377">
        <v>135</v>
      </c>
      <c r="V377" t="s">
        <v>20</v>
      </c>
      <c r="W377">
        <v>3</v>
      </c>
    </row>
    <row r="378" spans="1:23" hidden="1" x14ac:dyDescent="0.3">
      <c r="A378" t="s">
        <v>613</v>
      </c>
      <c r="B378" s="2">
        <v>46048</v>
      </c>
      <c r="C378" s="2" t="str">
        <v>Jan</v>
      </c>
      <c r="D378" t="s">
        <v>473</v>
      </c>
      <c r="E378" t="s">
        <v>116</v>
      </c>
      <c r="F378" t="str">
        <f>TRIM(E378)</f>
        <v>Priya</v>
      </c>
      <c r="G378" t="s">
        <v>117</v>
      </c>
      <c r="H378">
        <v>40</v>
      </c>
      <c r="I378" t="str">
        <f t="shared" si="5"/>
        <v>Ghaziabad</v>
      </c>
      <c r="J378" t="s">
        <v>54</v>
      </c>
      <c r="K378">
        <f ca="1"/>
        <v>31</v>
      </c>
      <c r="N378" t="s">
        <v>55</v>
      </c>
      <c r="O378">
        <v>1</v>
      </c>
      <c r="P378">
        <v>700</v>
      </c>
      <c r="Q378">
        <v>0</v>
      </c>
      <c r="R378">
        <f>O378*P378</f>
        <v>700</v>
      </c>
      <c r="S378" t="s">
        <v>91</v>
      </c>
      <c r="T378" t="str">
        <f>TRIM(S378)</f>
        <v>Net Banking</v>
      </c>
      <c r="U378">
        <v>36</v>
      </c>
      <c r="V378" t="s">
        <v>20</v>
      </c>
      <c r="W378">
        <v>2</v>
      </c>
    </row>
    <row r="379" spans="1:23" hidden="1" x14ac:dyDescent="0.3">
      <c r="A379" t="s">
        <v>614</v>
      </c>
      <c r="B379" s="2">
        <v>46127</v>
      </c>
      <c r="C379" s="2" t="str">
        <v>Apr</v>
      </c>
      <c r="D379" t="s">
        <v>48</v>
      </c>
      <c r="E379" t="s">
        <v>23</v>
      </c>
      <c r="F379" t="str">
        <f>TRIM(E379)</f>
        <v>Pooja</v>
      </c>
      <c r="G379" t="s">
        <v>81</v>
      </c>
      <c r="H379">
        <v>35</v>
      </c>
      <c r="I379" t="str">
        <f t="shared" si="5"/>
        <v>Faridabad</v>
      </c>
      <c r="J379" t="s">
        <v>124</v>
      </c>
      <c r="K379">
        <f ca="1"/>
        <v>44</v>
      </c>
      <c r="N379" t="s">
        <v>55</v>
      </c>
      <c r="O379">
        <v>3</v>
      </c>
      <c r="P379">
        <v>2700</v>
      </c>
      <c r="Q379">
        <v>20</v>
      </c>
      <c r="R379">
        <f>O379*P379</f>
        <v>8100</v>
      </c>
      <c r="S379" t="s">
        <v>56</v>
      </c>
      <c r="T379" t="str">
        <f>TRIM(S379)</f>
        <v>COD</v>
      </c>
      <c r="U379">
        <v>129</v>
      </c>
      <c r="V379" t="s">
        <v>20</v>
      </c>
      <c r="W379">
        <v>3</v>
      </c>
    </row>
    <row r="380" spans="1:23" hidden="1" x14ac:dyDescent="0.3">
      <c r="A380" t="s">
        <v>615</v>
      </c>
      <c r="B380" s="2">
        <v>46088</v>
      </c>
      <c r="C380" s="2" t="str">
        <v>Mar</v>
      </c>
      <c r="D380" t="s">
        <v>79</v>
      </c>
      <c r="E380" t="s">
        <v>80</v>
      </c>
      <c r="F380" t="str">
        <f>TRIM(E380)</f>
        <v>Varun</v>
      </c>
      <c r="G380" t="s">
        <v>36</v>
      </c>
      <c r="H380">
        <v>73</v>
      </c>
      <c r="I380" t="str">
        <f t="shared" si="5"/>
        <v>Delhi</v>
      </c>
      <c r="J380" t="s">
        <v>127</v>
      </c>
      <c r="K380">
        <f ca="1"/>
        <v>41</v>
      </c>
      <c r="N380" t="s">
        <v>55</v>
      </c>
      <c r="O380">
        <v>2</v>
      </c>
      <c r="P380">
        <v>2400</v>
      </c>
      <c r="Q380">
        <v>0</v>
      </c>
      <c r="R380">
        <f>O380*P380</f>
        <v>4800</v>
      </c>
      <c r="S380" t="s">
        <v>56</v>
      </c>
      <c r="T380" t="str">
        <f>TRIM(S380)</f>
        <v>COD</v>
      </c>
      <c r="U380">
        <v>129</v>
      </c>
      <c r="V380" t="s">
        <v>20</v>
      </c>
      <c r="W380">
        <v>6</v>
      </c>
    </row>
    <row r="381" spans="1:23" hidden="1" x14ac:dyDescent="0.3">
      <c r="A381" t="s">
        <v>616</v>
      </c>
      <c r="B381" s="2">
        <v>46165</v>
      </c>
      <c r="C381" s="2" t="str">
        <v>May</v>
      </c>
      <c r="D381" t="s">
        <v>348</v>
      </c>
      <c r="E381" t="s">
        <v>35</v>
      </c>
      <c r="F381" t="str">
        <f>TRIM(E381)</f>
        <v>Rohan</v>
      </c>
      <c r="G381" t="s">
        <v>24</v>
      </c>
      <c r="H381">
        <v>35</v>
      </c>
      <c r="I381" t="str">
        <f t="shared" si="5"/>
        <v>Chandigarh</v>
      </c>
      <c r="J381" t="s">
        <v>156</v>
      </c>
      <c r="K381">
        <f ca="1"/>
        <v>35</v>
      </c>
      <c r="N381" t="s">
        <v>18</v>
      </c>
      <c r="O381">
        <v>1</v>
      </c>
      <c r="P381">
        <v>37060</v>
      </c>
      <c r="Q381">
        <v>5</v>
      </c>
      <c r="R381">
        <f>O381*P381</f>
        <v>37060</v>
      </c>
      <c r="S381" t="s">
        <v>19</v>
      </c>
      <c r="T381" t="str">
        <f>TRIM(S381)</f>
        <v>UPI</v>
      </c>
      <c r="U381">
        <v>200</v>
      </c>
      <c r="V381" t="s">
        <v>20</v>
      </c>
      <c r="W381">
        <v>2</v>
      </c>
    </row>
    <row r="382" spans="1:23" hidden="1" x14ac:dyDescent="0.3">
      <c r="A382" t="s">
        <v>617</v>
      </c>
      <c r="B382" s="2">
        <v>46173</v>
      </c>
      <c r="C382" s="2" t="str">
        <v>May</v>
      </c>
      <c r="D382" t="s">
        <v>148</v>
      </c>
      <c r="E382" t="s">
        <v>149</v>
      </c>
      <c r="F382" t="str">
        <f>TRIM(E382)</f>
        <v>Rahul</v>
      </c>
      <c r="G382" t="s">
        <v>81</v>
      </c>
      <c r="H382">
        <v>35</v>
      </c>
      <c r="I382" t="str">
        <f t="shared" si="5"/>
        <v>Faridabad</v>
      </c>
      <c r="J382" t="s">
        <v>124</v>
      </c>
      <c r="K382">
        <f ca="1"/>
        <v>44</v>
      </c>
      <c r="N382" t="s">
        <v>55</v>
      </c>
      <c r="O382">
        <v>3</v>
      </c>
      <c r="P382">
        <v>2900</v>
      </c>
      <c r="Q382">
        <v>0</v>
      </c>
      <c r="R382">
        <f>O382*P382</f>
        <v>8700</v>
      </c>
      <c r="S382" t="s">
        <v>19</v>
      </c>
      <c r="T382" t="str">
        <f>TRIM(S382)</f>
        <v>UPI</v>
      </c>
      <c r="U382">
        <v>200</v>
      </c>
      <c r="V382" t="s">
        <v>20</v>
      </c>
      <c r="W382">
        <v>5</v>
      </c>
    </row>
    <row r="383" spans="1:23" hidden="1" x14ac:dyDescent="0.3">
      <c r="A383" t="s">
        <v>618</v>
      </c>
      <c r="B383" s="2">
        <v>46203</v>
      </c>
      <c r="C383" s="2" t="str">
        <v>Jun</v>
      </c>
      <c r="D383" t="s">
        <v>332</v>
      </c>
      <c r="E383" t="s">
        <v>101</v>
      </c>
      <c r="F383" t="str">
        <f>TRIM(E383)</f>
        <v>Arjun</v>
      </c>
      <c r="G383" t="s">
        <v>40</v>
      </c>
      <c r="H383">
        <v>69</v>
      </c>
      <c r="I383" t="str">
        <f t="shared" si="5"/>
        <v>Gurugram</v>
      </c>
      <c r="J383" t="s">
        <v>17</v>
      </c>
      <c r="K383">
        <f ca="1"/>
        <v>55</v>
      </c>
      <c r="N383" t="s">
        <v>18</v>
      </c>
      <c r="O383">
        <v>1</v>
      </c>
      <c r="P383">
        <v>10165</v>
      </c>
      <c r="Q383">
        <v>0</v>
      </c>
      <c r="R383">
        <f>O383*P383</f>
        <v>10165</v>
      </c>
      <c r="S383" t="s">
        <v>27</v>
      </c>
      <c r="T383" t="str">
        <f>TRIM(S383)</f>
        <v>Card</v>
      </c>
      <c r="U383">
        <v>135</v>
      </c>
      <c r="V383" t="s">
        <v>20</v>
      </c>
      <c r="W383">
        <v>4</v>
      </c>
    </row>
    <row r="384" spans="1:23" hidden="1" x14ac:dyDescent="0.3">
      <c r="A384" t="s">
        <v>619</v>
      </c>
      <c r="B384" s="2">
        <v>46098</v>
      </c>
      <c r="C384" s="2" t="str">
        <v>Mar</v>
      </c>
      <c r="D384" t="s">
        <v>620</v>
      </c>
      <c r="E384" t="s">
        <v>149</v>
      </c>
      <c r="F384" t="str">
        <f>TRIM(E384)</f>
        <v>Rahul</v>
      </c>
      <c r="G384" t="s">
        <v>65</v>
      </c>
      <c r="H384">
        <v>36</v>
      </c>
      <c r="I384" t="str">
        <f t="shared" si="5"/>
        <v>Jaipur</v>
      </c>
      <c r="J384" t="s">
        <v>113</v>
      </c>
      <c r="K384">
        <f ca="1"/>
        <v>26</v>
      </c>
      <c r="N384" t="s">
        <v>26</v>
      </c>
      <c r="O384">
        <v>2</v>
      </c>
      <c r="P384">
        <v>1678</v>
      </c>
      <c r="Q384">
        <v>25</v>
      </c>
      <c r="R384">
        <f>O384*P384</f>
        <v>3356</v>
      </c>
      <c r="S384" t="s">
        <v>19</v>
      </c>
      <c r="T384" t="str">
        <f>TRIM(S384)</f>
        <v>UPI</v>
      </c>
      <c r="U384">
        <v>200</v>
      </c>
      <c r="V384" t="s">
        <v>139</v>
      </c>
      <c r="W384">
        <v>2</v>
      </c>
    </row>
    <row r="385" spans="1:23" hidden="1" x14ac:dyDescent="0.3">
      <c r="A385" t="s">
        <v>621</v>
      </c>
      <c r="B385" s="2">
        <v>46053</v>
      </c>
      <c r="C385" s="2" t="str">
        <v>Jan</v>
      </c>
      <c r="D385" t="s">
        <v>622</v>
      </c>
      <c r="E385" t="s">
        <v>98</v>
      </c>
      <c r="F385" t="str">
        <f>TRIM(E385)</f>
        <v>Meera</v>
      </c>
      <c r="G385" t="s">
        <v>36</v>
      </c>
      <c r="H385">
        <v>73</v>
      </c>
      <c r="I385" t="str">
        <f t="shared" si="5"/>
        <v>Delhi</v>
      </c>
      <c r="J385" t="s">
        <v>135</v>
      </c>
      <c r="K385">
        <f ca="1"/>
        <v>28</v>
      </c>
      <c r="N385" t="s">
        <v>50</v>
      </c>
      <c r="O385">
        <v>1</v>
      </c>
      <c r="P385">
        <v>1322</v>
      </c>
      <c r="Q385">
        <v>0</v>
      </c>
      <c r="R385">
        <f>O385*P385</f>
        <v>1322</v>
      </c>
      <c r="S385" t="s">
        <v>27</v>
      </c>
      <c r="T385" t="str">
        <f>TRIM(S385)</f>
        <v>Card</v>
      </c>
      <c r="U385">
        <v>135</v>
      </c>
      <c r="V385" t="s">
        <v>46</v>
      </c>
      <c r="W385">
        <v>0</v>
      </c>
    </row>
    <row r="386" spans="1:23" hidden="1" x14ac:dyDescent="0.3">
      <c r="A386" t="s">
        <v>623</v>
      </c>
      <c r="B386" s="2">
        <v>46044</v>
      </c>
      <c r="C386" s="2" t="str">
        <v>Jan</v>
      </c>
      <c r="D386" t="s">
        <v>252</v>
      </c>
      <c r="E386" t="s">
        <v>94</v>
      </c>
      <c r="F386" t="str">
        <f>TRIM(E386)</f>
        <v>Karan</v>
      </c>
      <c r="G386" t="s">
        <v>40</v>
      </c>
      <c r="H386">
        <v>69</v>
      </c>
      <c r="I386" t="str">
        <f t="shared" si="5"/>
        <v>Gurugram</v>
      </c>
      <c r="J386" t="s">
        <v>127</v>
      </c>
      <c r="K386">
        <f ca="1"/>
        <v>41</v>
      </c>
      <c r="N386" t="s">
        <v>55</v>
      </c>
      <c r="O386">
        <v>1</v>
      </c>
      <c r="P386">
        <v>2100</v>
      </c>
      <c r="Q386">
        <v>0</v>
      </c>
      <c r="R386">
        <f>O386*P386</f>
        <v>2100</v>
      </c>
      <c r="S386" t="s">
        <v>56</v>
      </c>
      <c r="T386" t="str">
        <f>TRIM(S386)</f>
        <v>COD</v>
      </c>
      <c r="U386">
        <v>129</v>
      </c>
      <c r="V386" t="s">
        <v>20</v>
      </c>
      <c r="W386">
        <v>5</v>
      </c>
    </row>
    <row r="387" spans="1:23" hidden="1" x14ac:dyDescent="0.3">
      <c r="A387" t="s">
        <v>624</v>
      </c>
      <c r="B387" s="2">
        <v>46094</v>
      </c>
      <c r="C387" s="2" t="str">
        <v>Mar</v>
      </c>
      <c r="D387" t="s">
        <v>153</v>
      </c>
      <c r="E387" t="s">
        <v>80</v>
      </c>
      <c r="F387" t="str">
        <f>TRIM(E387)</f>
        <v>Varun</v>
      </c>
      <c r="G387" t="s">
        <v>16</v>
      </c>
      <c r="H387">
        <v>49</v>
      </c>
      <c r="I387" t="str">
        <f t="shared" ref="I387:I450" si="6">TRIM(G387)</f>
        <v>Lucknow</v>
      </c>
      <c r="J387" t="s">
        <v>383</v>
      </c>
      <c r="K387">
        <f ca="1"/>
        <v>18</v>
      </c>
      <c r="N387" t="s">
        <v>26</v>
      </c>
      <c r="O387">
        <v>1</v>
      </c>
      <c r="P387">
        <v>862</v>
      </c>
      <c r="Q387">
        <v>5</v>
      </c>
      <c r="R387">
        <f>O387*P387</f>
        <v>862</v>
      </c>
      <c r="S387" t="s">
        <v>91</v>
      </c>
      <c r="T387" t="str">
        <f>TRIM(S387)</f>
        <v>Net Banking</v>
      </c>
      <c r="U387">
        <v>36</v>
      </c>
      <c r="V387" t="s">
        <v>20</v>
      </c>
      <c r="W387">
        <v>4</v>
      </c>
    </row>
    <row r="388" spans="1:23" hidden="1" x14ac:dyDescent="0.3">
      <c r="A388" t="s">
        <v>625</v>
      </c>
      <c r="B388" s="2">
        <v>46071</v>
      </c>
      <c r="C388" s="2" t="str">
        <v>Feb</v>
      </c>
      <c r="D388" t="s">
        <v>275</v>
      </c>
      <c r="E388" t="s">
        <v>75</v>
      </c>
      <c r="F388" t="str">
        <f>TRIM(E388)</f>
        <v>Sneha</v>
      </c>
      <c r="G388" t="s">
        <v>40</v>
      </c>
      <c r="H388">
        <v>69</v>
      </c>
      <c r="I388" t="str">
        <f t="shared" si="6"/>
        <v>Gurugram</v>
      </c>
      <c r="J388" t="s">
        <v>135</v>
      </c>
      <c r="K388">
        <f ca="1"/>
        <v>28</v>
      </c>
      <c r="N388" t="s">
        <v>50</v>
      </c>
      <c r="O388">
        <v>1</v>
      </c>
      <c r="P388">
        <v>2125</v>
      </c>
      <c r="Q388">
        <v>0</v>
      </c>
      <c r="R388">
        <f>O388*P388</f>
        <v>2125</v>
      </c>
      <c r="S388" t="s">
        <v>27</v>
      </c>
      <c r="T388" t="str">
        <f>TRIM(S388)</f>
        <v>Card</v>
      </c>
      <c r="U388">
        <v>135</v>
      </c>
      <c r="V388" t="s">
        <v>139</v>
      </c>
      <c r="W388">
        <v>6</v>
      </c>
    </row>
    <row r="389" spans="1:23" hidden="1" x14ac:dyDescent="0.3">
      <c r="A389" t="s">
        <v>626</v>
      </c>
      <c r="B389" s="2">
        <v>46157</v>
      </c>
      <c r="C389" s="2" t="str">
        <v>May</v>
      </c>
      <c r="D389" t="s">
        <v>197</v>
      </c>
      <c r="E389" t="s">
        <v>43</v>
      </c>
      <c r="F389" t="str">
        <f>TRIM(E389)</f>
        <v>Aarav</v>
      </c>
      <c r="G389" t="s">
        <v>40</v>
      </c>
      <c r="H389">
        <v>69</v>
      </c>
      <c r="I389" t="str">
        <f t="shared" si="6"/>
        <v>Gurugram</v>
      </c>
      <c r="J389" t="s">
        <v>213</v>
      </c>
      <c r="K389">
        <f ca="1"/>
        <v>14</v>
      </c>
      <c r="N389" t="s">
        <v>18</v>
      </c>
      <c r="O389">
        <v>3</v>
      </c>
      <c r="P389">
        <v>54990</v>
      </c>
      <c r="Q389">
        <v>10</v>
      </c>
      <c r="R389">
        <f>O389*P389</f>
        <v>164970</v>
      </c>
      <c r="S389" t="s">
        <v>19</v>
      </c>
      <c r="T389" t="str">
        <f>TRIM(S389)</f>
        <v>UPI</v>
      </c>
      <c r="U389">
        <v>200</v>
      </c>
      <c r="V389" t="s">
        <v>20</v>
      </c>
      <c r="W389">
        <v>4</v>
      </c>
    </row>
    <row r="390" spans="1:23" hidden="1" x14ac:dyDescent="0.3">
      <c r="A390" t="s">
        <v>627</v>
      </c>
      <c r="B390" s="2">
        <v>46185</v>
      </c>
      <c r="C390" s="2" t="str">
        <v>Jun</v>
      </c>
      <c r="D390" t="s">
        <v>350</v>
      </c>
      <c r="E390" t="s">
        <v>149</v>
      </c>
      <c r="F390" t="str">
        <f>TRIM(E390)</f>
        <v>Rahul</v>
      </c>
      <c r="G390" t="s">
        <v>40</v>
      </c>
      <c r="H390">
        <v>69</v>
      </c>
      <c r="I390" t="str">
        <f t="shared" si="6"/>
        <v>Gurugram</v>
      </c>
      <c r="J390" t="s">
        <v>113</v>
      </c>
      <c r="K390">
        <f ca="1"/>
        <v>26</v>
      </c>
      <c r="N390" t="s">
        <v>26</v>
      </c>
      <c r="O390">
        <v>1</v>
      </c>
      <c r="P390">
        <v>1678</v>
      </c>
      <c r="Q390">
        <v>5</v>
      </c>
      <c r="R390">
        <f>O390*P390</f>
        <v>1678</v>
      </c>
      <c r="S390" t="s">
        <v>19</v>
      </c>
      <c r="T390" t="str">
        <f>TRIM(S390)</f>
        <v>UPI</v>
      </c>
      <c r="U390">
        <v>200</v>
      </c>
      <c r="V390" t="s">
        <v>20</v>
      </c>
      <c r="W390">
        <v>5</v>
      </c>
    </row>
    <row r="391" spans="1:23" hidden="1" x14ac:dyDescent="0.3">
      <c r="A391" t="s">
        <v>628</v>
      </c>
      <c r="B391" s="2">
        <v>46187</v>
      </c>
      <c r="C391" s="2" t="str">
        <v>Jun</v>
      </c>
      <c r="D391" t="s">
        <v>372</v>
      </c>
      <c r="E391" t="s">
        <v>101</v>
      </c>
      <c r="F391" t="str">
        <f>TRIM(E391)</f>
        <v>Arjun</v>
      </c>
      <c r="G391" t="s">
        <v>36</v>
      </c>
      <c r="H391">
        <v>73</v>
      </c>
      <c r="I391" t="str">
        <f t="shared" si="6"/>
        <v>Delhi</v>
      </c>
      <c r="J391" t="s">
        <v>190</v>
      </c>
      <c r="K391">
        <f ca="1"/>
        <v>54</v>
      </c>
      <c r="N391" t="s">
        <v>55</v>
      </c>
      <c r="O391">
        <v>1</v>
      </c>
      <c r="P391">
        <v>1200</v>
      </c>
      <c r="Q391">
        <v>15</v>
      </c>
      <c r="R391">
        <f>O391*P391</f>
        <v>1200</v>
      </c>
      <c r="S391" t="s">
        <v>19</v>
      </c>
      <c r="T391" t="str">
        <f>TRIM(S391)</f>
        <v>UPI</v>
      </c>
      <c r="U391">
        <v>200</v>
      </c>
      <c r="V391" t="s">
        <v>20</v>
      </c>
      <c r="W391">
        <v>3</v>
      </c>
    </row>
    <row r="392" spans="1:23" hidden="1" x14ac:dyDescent="0.3">
      <c r="A392" t="s">
        <v>629</v>
      </c>
      <c r="B392" s="2">
        <v>46118</v>
      </c>
      <c r="C392" s="2" t="str">
        <v>Apr</v>
      </c>
      <c r="D392" t="s">
        <v>630</v>
      </c>
      <c r="E392" t="s">
        <v>53</v>
      </c>
      <c r="F392" t="str">
        <f>TRIM(E392)</f>
        <v>Isha</v>
      </c>
      <c r="G392" t="s">
        <v>65</v>
      </c>
      <c r="H392">
        <v>36</v>
      </c>
      <c r="I392" t="str">
        <f t="shared" si="6"/>
        <v>Jaipur</v>
      </c>
      <c r="J392" t="s">
        <v>62</v>
      </c>
      <c r="K392">
        <f ca="1"/>
        <v>33</v>
      </c>
      <c r="N392" t="s">
        <v>50</v>
      </c>
      <c r="O392">
        <v>3</v>
      </c>
      <c r="P392">
        <v>2490</v>
      </c>
      <c r="Q392">
        <v>5</v>
      </c>
      <c r="R392">
        <f>O392*P392</f>
        <v>7470</v>
      </c>
      <c r="S392" t="s">
        <v>56</v>
      </c>
      <c r="T392" t="str">
        <f>TRIM(S392)</f>
        <v>COD</v>
      </c>
      <c r="U392">
        <v>129</v>
      </c>
      <c r="V392" t="s">
        <v>46</v>
      </c>
      <c r="W392">
        <v>0</v>
      </c>
    </row>
    <row r="393" spans="1:23" hidden="1" x14ac:dyDescent="0.3">
      <c r="A393" t="s">
        <v>631</v>
      </c>
      <c r="B393" s="2">
        <v>46125</v>
      </c>
      <c r="C393" s="2" t="str">
        <v>Apr</v>
      </c>
      <c r="D393" t="s">
        <v>477</v>
      </c>
      <c r="E393" t="s">
        <v>75</v>
      </c>
      <c r="F393" t="str">
        <f>TRIM(E393)</f>
        <v>Sneha</v>
      </c>
      <c r="G393" t="s">
        <v>117</v>
      </c>
      <c r="H393">
        <v>40</v>
      </c>
      <c r="I393" t="str">
        <f t="shared" si="6"/>
        <v>Ghaziabad</v>
      </c>
      <c r="J393" t="s">
        <v>62</v>
      </c>
      <c r="K393">
        <f ca="1"/>
        <v>33</v>
      </c>
      <c r="N393" t="s">
        <v>50</v>
      </c>
      <c r="O393">
        <v>2</v>
      </c>
      <c r="P393">
        <v>2417</v>
      </c>
      <c r="Q393">
        <v>10</v>
      </c>
      <c r="R393">
        <f>O393*P393</f>
        <v>4834</v>
      </c>
      <c r="S393" t="s">
        <v>27</v>
      </c>
      <c r="T393" t="str">
        <f>TRIM(S393)</f>
        <v>Card</v>
      </c>
      <c r="U393">
        <v>135</v>
      </c>
      <c r="V393" t="s">
        <v>20</v>
      </c>
      <c r="W393">
        <v>5</v>
      </c>
    </row>
    <row r="394" spans="1:23" hidden="1" x14ac:dyDescent="0.3">
      <c r="A394" t="s">
        <v>632</v>
      </c>
      <c r="B394" s="2">
        <v>46173</v>
      </c>
      <c r="C394" s="2" t="str">
        <v>May</v>
      </c>
      <c r="D394" t="s">
        <v>254</v>
      </c>
      <c r="E394" t="s">
        <v>39</v>
      </c>
      <c r="F394" t="str">
        <f>TRIM(E394)</f>
        <v>Aman</v>
      </c>
      <c r="G394" t="s">
        <v>16</v>
      </c>
      <c r="H394">
        <v>49</v>
      </c>
      <c r="I394" t="str">
        <f t="shared" si="6"/>
        <v>Lucknow</v>
      </c>
      <c r="J394" t="s">
        <v>82</v>
      </c>
      <c r="K394">
        <f ca="1"/>
        <v>33</v>
      </c>
      <c r="N394" t="s">
        <v>50</v>
      </c>
      <c r="O394">
        <v>1</v>
      </c>
      <c r="P394">
        <v>2344</v>
      </c>
      <c r="Q394">
        <v>5</v>
      </c>
      <c r="R394">
        <f>O394*P394</f>
        <v>2344</v>
      </c>
      <c r="S394" t="s">
        <v>56</v>
      </c>
      <c r="T394" t="str">
        <f>TRIM(S394)</f>
        <v>COD</v>
      </c>
      <c r="U394">
        <v>129</v>
      </c>
      <c r="V394" t="s">
        <v>20</v>
      </c>
      <c r="W394">
        <v>4</v>
      </c>
    </row>
    <row r="395" spans="1:23" hidden="1" x14ac:dyDescent="0.3">
      <c r="A395" t="s">
        <v>633</v>
      </c>
      <c r="B395" s="2">
        <v>46037</v>
      </c>
      <c r="C395" s="2" t="str">
        <v>Jan</v>
      </c>
      <c r="D395" t="s">
        <v>419</v>
      </c>
      <c r="E395" t="s">
        <v>161</v>
      </c>
      <c r="F395" t="str">
        <f>TRIM(E395)</f>
        <v>Ananya</v>
      </c>
      <c r="G395" t="s">
        <v>40</v>
      </c>
      <c r="H395">
        <v>69</v>
      </c>
      <c r="I395" t="str">
        <f t="shared" si="6"/>
        <v>Gurugram</v>
      </c>
      <c r="J395" t="s">
        <v>135</v>
      </c>
      <c r="K395">
        <f ca="1"/>
        <v>28</v>
      </c>
      <c r="N395" t="s">
        <v>50</v>
      </c>
      <c r="O395">
        <v>1</v>
      </c>
      <c r="P395">
        <v>957</v>
      </c>
      <c r="Q395">
        <v>5</v>
      </c>
      <c r="R395">
        <f>O395*P395</f>
        <v>957</v>
      </c>
      <c r="S395" t="s">
        <v>19</v>
      </c>
      <c r="T395" t="str">
        <f>TRIM(S395)</f>
        <v>UPI</v>
      </c>
      <c r="U395">
        <v>200</v>
      </c>
      <c r="V395" t="s">
        <v>20</v>
      </c>
      <c r="W395">
        <v>3</v>
      </c>
    </row>
    <row r="396" spans="1:23" hidden="1" x14ac:dyDescent="0.3">
      <c r="A396" t="s">
        <v>634</v>
      </c>
      <c r="B396" s="2">
        <v>46155</v>
      </c>
      <c r="C396" s="2" t="str">
        <v>May</v>
      </c>
      <c r="D396" t="s">
        <v>325</v>
      </c>
      <c r="E396" t="s">
        <v>116</v>
      </c>
      <c r="F396" t="str">
        <f>TRIM(E396)</f>
        <v>Priya</v>
      </c>
      <c r="G396" t="s">
        <v>65</v>
      </c>
      <c r="H396">
        <v>36</v>
      </c>
      <c r="I396" t="str">
        <f t="shared" si="6"/>
        <v>Jaipur</v>
      </c>
      <c r="J396" t="s">
        <v>383</v>
      </c>
      <c r="K396">
        <f ca="1"/>
        <v>18</v>
      </c>
      <c r="N396" t="s">
        <v>26</v>
      </c>
      <c r="O396">
        <v>1</v>
      </c>
      <c r="P396">
        <v>1321</v>
      </c>
      <c r="Q396">
        <v>5</v>
      </c>
      <c r="R396">
        <f>O396*P396</f>
        <v>1321</v>
      </c>
      <c r="S396" t="s">
        <v>27</v>
      </c>
      <c r="T396" t="str">
        <f>TRIM(S396)</f>
        <v>Card</v>
      </c>
      <c r="U396">
        <v>135</v>
      </c>
      <c r="V396" t="s">
        <v>20</v>
      </c>
      <c r="W396">
        <v>3</v>
      </c>
    </row>
    <row r="397" spans="1:23" hidden="1" x14ac:dyDescent="0.3">
      <c r="A397" t="s">
        <v>635</v>
      </c>
      <c r="B397" s="2">
        <v>46159</v>
      </c>
      <c r="C397" s="2" t="str">
        <v>May</v>
      </c>
      <c r="D397" t="s">
        <v>636</v>
      </c>
      <c r="E397" t="s">
        <v>15</v>
      </c>
      <c r="F397" t="str">
        <f>TRIM(E397)</f>
        <v>Aditya</v>
      </c>
      <c r="G397" t="s">
        <v>117</v>
      </c>
      <c r="H397">
        <v>40</v>
      </c>
      <c r="I397" t="str">
        <f t="shared" si="6"/>
        <v>Ghaziabad</v>
      </c>
      <c r="J397" t="s">
        <v>49</v>
      </c>
      <c r="K397">
        <f ca="1"/>
        <v>29</v>
      </c>
      <c r="N397" t="s">
        <v>50</v>
      </c>
      <c r="O397">
        <v>1</v>
      </c>
      <c r="P397">
        <v>1541</v>
      </c>
      <c r="Q397">
        <v>20</v>
      </c>
      <c r="R397">
        <f>O397*P397</f>
        <v>1541</v>
      </c>
      <c r="S397" t="s">
        <v>19</v>
      </c>
      <c r="T397" t="str">
        <f>TRIM(S397)</f>
        <v>UPI</v>
      </c>
      <c r="U397">
        <v>200</v>
      </c>
      <c r="V397" t="s">
        <v>20</v>
      </c>
      <c r="W397">
        <v>3</v>
      </c>
    </row>
    <row r="398" spans="1:23" hidden="1" x14ac:dyDescent="0.3">
      <c r="A398" t="s">
        <v>637</v>
      </c>
      <c r="B398" s="2">
        <v>46047</v>
      </c>
      <c r="C398" s="2" t="str">
        <v>Jan</v>
      </c>
      <c r="D398" t="s">
        <v>519</v>
      </c>
      <c r="E398" t="s">
        <v>23</v>
      </c>
      <c r="F398" t="str">
        <f>TRIM(E398)</f>
        <v>Pooja</v>
      </c>
      <c r="G398" t="s">
        <v>36</v>
      </c>
      <c r="H398">
        <v>73</v>
      </c>
      <c r="I398" t="str">
        <f t="shared" si="6"/>
        <v>Delhi</v>
      </c>
      <c r="J398" t="s">
        <v>156</v>
      </c>
      <c r="K398">
        <f ca="1"/>
        <v>35</v>
      </c>
      <c r="N398" t="s">
        <v>18</v>
      </c>
      <c r="O398">
        <v>3</v>
      </c>
      <c r="P398">
        <v>17337</v>
      </c>
      <c r="Q398">
        <v>0</v>
      </c>
      <c r="R398">
        <f>O398*P398</f>
        <v>52011</v>
      </c>
      <c r="S398" t="s">
        <v>19</v>
      </c>
      <c r="T398" t="str">
        <f>TRIM(S398)</f>
        <v>UPI</v>
      </c>
      <c r="U398">
        <v>200</v>
      </c>
      <c r="V398" t="s">
        <v>20</v>
      </c>
      <c r="W398">
        <v>2</v>
      </c>
    </row>
    <row r="399" spans="1:23" hidden="1" x14ac:dyDescent="0.3">
      <c r="A399" t="s">
        <v>638</v>
      </c>
      <c r="B399" s="2">
        <v>46047</v>
      </c>
      <c r="C399" s="2" t="str">
        <v>Jan</v>
      </c>
      <c r="D399" t="s">
        <v>283</v>
      </c>
      <c r="E399" t="s">
        <v>35</v>
      </c>
      <c r="F399" t="str">
        <f>TRIM(E399)</f>
        <v>Rohan</v>
      </c>
      <c r="G399" t="s">
        <v>81</v>
      </c>
      <c r="H399">
        <v>35</v>
      </c>
      <c r="I399" t="str">
        <f t="shared" si="6"/>
        <v>Faridabad</v>
      </c>
      <c r="J399" t="s">
        <v>82</v>
      </c>
      <c r="K399">
        <f ca="1"/>
        <v>33</v>
      </c>
      <c r="N399" t="s">
        <v>50</v>
      </c>
      <c r="O399">
        <v>1</v>
      </c>
      <c r="P399">
        <v>957</v>
      </c>
      <c r="Q399">
        <v>0</v>
      </c>
      <c r="R399">
        <f>O399*P399</f>
        <v>957</v>
      </c>
      <c r="S399" t="s">
        <v>56</v>
      </c>
      <c r="T399" t="str">
        <f>TRIM(S399)</f>
        <v>COD</v>
      </c>
      <c r="U399">
        <v>129</v>
      </c>
      <c r="V399" t="s">
        <v>139</v>
      </c>
      <c r="W399">
        <v>3</v>
      </c>
    </row>
    <row r="400" spans="1:23" hidden="1" x14ac:dyDescent="0.3">
      <c r="A400" t="s">
        <v>639</v>
      </c>
      <c r="B400" s="2">
        <v>46024</v>
      </c>
      <c r="C400" s="2" t="str">
        <v>Jan</v>
      </c>
      <c r="D400" t="s">
        <v>129</v>
      </c>
      <c r="E400" t="s">
        <v>35</v>
      </c>
      <c r="F400" t="str">
        <f>TRIM(E400)</f>
        <v>Rohan</v>
      </c>
      <c r="G400" t="s">
        <v>65</v>
      </c>
      <c r="H400">
        <v>36</v>
      </c>
      <c r="I400" t="str">
        <f t="shared" si="6"/>
        <v>Jaipur</v>
      </c>
      <c r="J400" t="s">
        <v>54</v>
      </c>
      <c r="K400">
        <f ca="1"/>
        <v>31</v>
      </c>
      <c r="N400" t="s">
        <v>55</v>
      </c>
      <c r="O400">
        <v>1</v>
      </c>
      <c r="P400">
        <v>1500</v>
      </c>
      <c r="Q400">
        <v>0</v>
      </c>
      <c r="R400">
        <f>O400*P400</f>
        <v>1500</v>
      </c>
      <c r="S400" t="s">
        <v>56</v>
      </c>
      <c r="T400" t="str">
        <f>TRIM(S400)</f>
        <v>COD</v>
      </c>
      <c r="U400">
        <v>129</v>
      </c>
      <c r="V400" t="s">
        <v>20</v>
      </c>
      <c r="W400">
        <v>4</v>
      </c>
    </row>
    <row r="401" spans="1:23" hidden="1" x14ac:dyDescent="0.3">
      <c r="A401" t="s">
        <v>640</v>
      </c>
      <c r="B401" s="2">
        <v>46028</v>
      </c>
      <c r="C401" s="2" t="str">
        <v>Jan</v>
      </c>
      <c r="D401" t="s">
        <v>230</v>
      </c>
      <c r="E401" t="s">
        <v>231</v>
      </c>
      <c r="F401" t="str">
        <f>TRIM(E401)</f>
        <v>Vivek</v>
      </c>
      <c r="G401" t="s">
        <v>16</v>
      </c>
      <c r="H401">
        <v>49</v>
      </c>
      <c r="I401" t="str">
        <f t="shared" si="6"/>
        <v>Lucknow</v>
      </c>
      <c r="J401" t="s">
        <v>124</v>
      </c>
      <c r="K401">
        <f ca="1"/>
        <v>44</v>
      </c>
      <c r="N401" t="s">
        <v>55</v>
      </c>
      <c r="O401">
        <v>1</v>
      </c>
      <c r="P401">
        <v>1600</v>
      </c>
      <c r="Q401">
        <v>10</v>
      </c>
      <c r="R401">
        <f>O401*P401</f>
        <v>1600</v>
      </c>
      <c r="S401" t="s">
        <v>19</v>
      </c>
      <c r="T401" t="str">
        <f>TRIM(S401)</f>
        <v>UPI</v>
      </c>
      <c r="U401">
        <v>200</v>
      </c>
      <c r="V401" t="s">
        <v>20</v>
      </c>
      <c r="W401">
        <v>8</v>
      </c>
    </row>
    <row r="402" spans="1:23" hidden="1" x14ac:dyDescent="0.3">
      <c r="A402" t="s">
        <v>641</v>
      </c>
      <c r="B402" s="2">
        <v>46029</v>
      </c>
      <c r="C402" s="2" t="str">
        <v>Jan</v>
      </c>
      <c r="D402" t="s">
        <v>642</v>
      </c>
      <c r="E402" t="s">
        <v>61</v>
      </c>
      <c r="F402" t="str">
        <f>TRIM(E402)</f>
        <v>Nikhil</v>
      </c>
      <c r="G402" t="s">
        <v>36</v>
      </c>
      <c r="H402">
        <v>73</v>
      </c>
      <c r="I402" t="str">
        <f t="shared" si="6"/>
        <v>Delhi</v>
      </c>
      <c r="J402" t="s">
        <v>141</v>
      </c>
      <c r="K402">
        <f ca="1"/>
        <v>34</v>
      </c>
      <c r="N402" t="s">
        <v>50</v>
      </c>
      <c r="O402">
        <v>1</v>
      </c>
      <c r="P402">
        <v>1103</v>
      </c>
      <c r="Q402">
        <v>0</v>
      </c>
      <c r="R402">
        <f>O402*P402</f>
        <v>1103</v>
      </c>
      <c r="S402" t="s">
        <v>19</v>
      </c>
      <c r="T402" t="str">
        <f>TRIM(S402)</f>
        <v>UPI</v>
      </c>
      <c r="U402">
        <v>200</v>
      </c>
      <c r="V402" t="s">
        <v>20</v>
      </c>
      <c r="W402">
        <v>5</v>
      </c>
    </row>
    <row r="403" spans="1:23" hidden="1" x14ac:dyDescent="0.3">
      <c r="A403" t="s">
        <v>643</v>
      </c>
      <c r="B403" s="2">
        <v>46030</v>
      </c>
      <c r="C403" s="2" t="str">
        <v>Jan</v>
      </c>
      <c r="D403" t="s">
        <v>400</v>
      </c>
      <c r="E403" t="s">
        <v>116</v>
      </c>
      <c r="F403" t="str">
        <f>TRIM(E403)</f>
        <v>Priya</v>
      </c>
      <c r="G403" t="s">
        <v>24</v>
      </c>
      <c r="H403">
        <v>35</v>
      </c>
      <c r="I403" t="str">
        <f t="shared" si="6"/>
        <v>Chandigarh</v>
      </c>
      <c r="J403" t="s">
        <v>32</v>
      </c>
      <c r="K403">
        <f ca="1"/>
        <v>36</v>
      </c>
      <c r="N403" t="s">
        <v>18</v>
      </c>
      <c r="O403">
        <v>1</v>
      </c>
      <c r="P403">
        <v>38853</v>
      </c>
      <c r="Q403">
        <v>20</v>
      </c>
      <c r="R403">
        <f>O403*P403</f>
        <v>38853</v>
      </c>
      <c r="S403" t="s">
        <v>19</v>
      </c>
      <c r="T403" t="str">
        <f>TRIM(S403)</f>
        <v>UPI</v>
      </c>
      <c r="U403">
        <v>200</v>
      </c>
      <c r="V403" t="s">
        <v>20</v>
      </c>
      <c r="W403">
        <v>1</v>
      </c>
    </row>
    <row r="404" spans="1:23" x14ac:dyDescent="0.3">
      <c r="A404" t="s">
        <v>644</v>
      </c>
      <c r="B404" s="2">
        <v>46197</v>
      </c>
      <c r="C404" s="2" t="str">
        <v>Jun</v>
      </c>
      <c r="D404" t="s">
        <v>305</v>
      </c>
      <c r="E404" t="s">
        <v>15</v>
      </c>
      <c r="F404" t="str">
        <f>TRIM(E404)</f>
        <v>Aditya</v>
      </c>
      <c r="G404" t="s">
        <v>31</v>
      </c>
      <c r="I404" t="str">
        <f t="shared" si="6"/>
        <v>Noida</v>
      </c>
      <c r="J404" t="s">
        <v>90</v>
      </c>
      <c r="K404">
        <f ca="1"/>
        <v>41</v>
      </c>
      <c r="N404" t="s">
        <v>18</v>
      </c>
      <c r="O404">
        <v>2</v>
      </c>
      <c r="P404">
        <v>37060</v>
      </c>
      <c r="Q404">
        <v>15</v>
      </c>
      <c r="R404">
        <f>O404*P404</f>
        <v>74120</v>
      </c>
      <c r="S404" t="s">
        <v>19</v>
      </c>
      <c r="T404" t="str">
        <f>TRIM(S404)</f>
        <v>UPI</v>
      </c>
      <c r="U404">
        <v>200</v>
      </c>
      <c r="V404" t="s">
        <v>20</v>
      </c>
      <c r="W404">
        <v>3</v>
      </c>
    </row>
    <row r="405" spans="1:23" x14ac:dyDescent="0.3">
      <c r="A405" t="s">
        <v>645</v>
      </c>
      <c r="B405" s="2">
        <v>46085</v>
      </c>
      <c r="C405" s="2" t="str">
        <v>Mar</v>
      </c>
      <c r="D405" t="s">
        <v>189</v>
      </c>
      <c r="E405" t="s">
        <v>30</v>
      </c>
      <c r="F405" t="str">
        <f>TRIM(E405)</f>
        <v>Simran</v>
      </c>
      <c r="G405" t="s">
        <v>31</v>
      </c>
      <c r="I405" t="str">
        <f t="shared" si="6"/>
        <v>Noida</v>
      </c>
      <c r="J405" t="s">
        <v>124</v>
      </c>
      <c r="K405">
        <f ca="1"/>
        <v>44</v>
      </c>
      <c r="N405" t="s">
        <v>55</v>
      </c>
      <c r="O405">
        <v>2</v>
      </c>
      <c r="P405">
        <v>900</v>
      </c>
      <c r="Q405">
        <v>10</v>
      </c>
      <c r="R405">
        <f>O405*P405</f>
        <v>1800</v>
      </c>
      <c r="S405" t="s">
        <v>19</v>
      </c>
      <c r="T405" t="str">
        <f>TRIM(S405)</f>
        <v>UPI</v>
      </c>
      <c r="U405">
        <v>200</v>
      </c>
      <c r="V405" t="s">
        <v>20</v>
      </c>
      <c r="W405">
        <v>3</v>
      </c>
    </row>
    <row r="406" spans="1:23" hidden="1" x14ac:dyDescent="0.3">
      <c r="A406" t="s">
        <v>646</v>
      </c>
      <c r="B406" s="2">
        <v>46186</v>
      </c>
      <c r="C406" s="2" t="str">
        <v>Jun</v>
      </c>
      <c r="D406" t="s">
        <v>395</v>
      </c>
      <c r="E406" t="s">
        <v>109</v>
      </c>
      <c r="F406" t="str">
        <f>TRIM(E406)</f>
        <v>Neha</v>
      </c>
      <c r="G406" t="s">
        <v>36</v>
      </c>
      <c r="I406" t="str">
        <f t="shared" si="6"/>
        <v>Delhi</v>
      </c>
      <c r="J406" t="s">
        <v>32</v>
      </c>
      <c r="K406">
        <f ca="1"/>
        <v>36</v>
      </c>
      <c r="N406" t="s">
        <v>18</v>
      </c>
      <c r="O406">
        <v>2</v>
      </c>
      <c r="P406">
        <v>26302</v>
      </c>
      <c r="Q406">
        <v>0</v>
      </c>
      <c r="R406">
        <f>O406*P406</f>
        <v>52604</v>
      </c>
      <c r="S406" t="s">
        <v>27</v>
      </c>
      <c r="T406" t="str">
        <f>TRIM(S406)</f>
        <v>Card</v>
      </c>
      <c r="U406">
        <v>135</v>
      </c>
      <c r="V406" t="s">
        <v>20</v>
      </c>
      <c r="W406">
        <v>2</v>
      </c>
    </row>
    <row r="407" spans="1:23" hidden="1" x14ac:dyDescent="0.3">
      <c r="A407" t="s">
        <v>647</v>
      </c>
      <c r="B407" s="2">
        <v>46170</v>
      </c>
      <c r="C407" s="2" t="str">
        <v>May</v>
      </c>
      <c r="D407" t="s">
        <v>235</v>
      </c>
      <c r="E407" t="s">
        <v>109</v>
      </c>
      <c r="F407" t="str">
        <f>TRIM(E407)</f>
        <v>Neha</v>
      </c>
      <c r="G407" t="s">
        <v>117</v>
      </c>
      <c r="I407" t="str">
        <f t="shared" si="6"/>
        <v>Ghaziabad</v>
      </c>
      <c r="J407" t="s">
        <v>82</v>
      </c>
      <c r="K407">
        <f ca="1"/>
        <v>33</v>
      </c>
      <c r="N407" t="s">
        <v>50</v>
      </c>
      <c r="O407">
        <v>1</v>
      </c>
      <c r="P407">
        <v>519</v>
      </c>
      <c r="Q407">
        <v>0</v>
      </c>
      <c r="R407">
        <f>O407*P407</f>
        <v>519</v>
      </c>
      <c r="S407" t="s">
        <v>91</v>
      </c>
      <c r="T407" t="str">
        <f>TRIM(S407)</f>
        <v>Net Banking</v>
      </c>
      <c r="U407">
        <v>36</v>
      </c>
      <c r="V407" t="s">
        <v>20</v>
      </c>
      <c r="W407">
        <v>4</v>
      </c>
    </row>
    <row r="408" spans="1:23" x14ac:dyDescent="0.3">
      <c r="A408" t="s">
        <v>648</v>
      </c>
      <c r="B408" s="2">
        <v>46181</v>
      </c>
      <c r="C408" s="2" t="str">
        <v>Jun</v>
      </c>
      <c r="D408" t="s">
        <v>129</v>
      </c>
      <c r="E408" t="s">
        <v>35</v>
      </c>
      <c r="F408" t="str">
        <f>TRIM(E408)</f>
        <v>Rohan</v>
      </c>
      <c r="G408" t="s">
        <v>31</v>
      </c>
      <c r="I408" t="str">
        <f t="shared" si="6"/>
        <v>Noida</v>
      </c>
      <c r="J408" t="s">
        <v>124</v>
      </c>
      <c r="K408">
        <f ca="1"/>
        <v>44</v>
      </c>
      <c r="N408" t="s">
        <v>55</v>
      </c>
      <c r="O408">
        <v>1</v>
      </c>
      <c r="P408">
        <v>3100</v>
      </c>
      <c r="Q408">
        <v>5</v>
      </c>
      <c r="R408">
        <f>O408*P408</f>
        <v>3100</v>
      </c>
      <c r="S408" t="s">
        <v>19</v>
      </c>
      <c r="T408" t="str">
        <f>TRIM(S408)</f>
        <v>UPI</v>
      </c>
      <c r="U408">
        <v>200</v>
      </c>
      <c r="V408" t="s">
        <v>20</v>
      </c>
      <c r="W408">
        <v>6</v>
      </c>
    </row>
    <row r="409" spans="1:23" hidden="1" x14ac:dyDescent="0.3">
      <c r="A409" t="s">
        <v>649</v>
      </c>
      <c r="B409" s="2">
        <v>46038</v>
      </c>
      <c r="C409" s="2" t="str">
        <v>Jan</v>
      </c>
      <c r="D409" t="s">
        <v>38</v>
      </c>
      <c r="E409" t="s">
        <v>39</v>
      </c>
      <c r="F409" t="str">
        <f>TRIM(E409)</f>
        <v>Aman</v>
      </c>
      <c r="G409" t="s">
        <v>36</v>
      </c>
      <c r="I409" t="str">
        <f t="shared" si="6"/>
        <v>Delhi</v>
      </c>
      <c r="J409" t="s">
        <v>85</v>
      </c>
      <c r="K409">
        <f ca="1"/>
        <v>30</v>
      </c>
      <c r="N409" t="s">
        <v>45</v>
      </c>
      <c r="O409">
        <v>2</v>
      </c>
      <c r="P409">
        <v>1300</v>
      </c>
      <c r="Q409">
        <v>10</v>
      </c>
      <c r="R409">
        <f>O409*P409</f>
        <v>2600</v>
      </c>
      <c r="S409" t="s">
        <v>56</v>
      </c>
      <c r="T409" t="str">
        <f>TRIM(S409)</f>
        <v>COD</v>
      </c>
      <c r="U409">
        <v>129</v>
      </c>
      <c r="V409" t="s">
        <v>20</v>
      </c>
      <c r="W409">
        <v>1</v>
      </c>
    </row>
    <row r="410" spans="1:23" hidden="1" x14ac:dyDescent="0.3">
      <c r="A410" t="s">
        <v>650</v>
      </c>
      <c r="B410" s="2">
        <v>46152</v>
      </c>
      <c r="C410" s="2" t="str">
        <v>May</v>
      </c>
      <c r="D410" t="s">
        <v>578</v>
      </c>
      <c r="E410" t="s">
        <v>184</v>
      </c>
      <c r="F410" t="str">
        <f>TRIM(E410)</f>
        <v>Kavya</v>
      </c>
      <c r="G410" t="s">
        <v>117</v>
      </c>
      <c r="I410" t="str">
        <f t="shared" si="6"/>
        <v>Ghaziabad</v>
      </c>
      <c r="J410" t="s">
        <v>62</v>
      </c>
      <c r="K410">
        <f ca="1"/>
        <v>33</v>
      </c>
      <c r="N410" t="s">
        <v>50</v>
      </c>
      <c r="O410">
        <v>1</v>
      </c>
      <c r="P410">
        <v>2125</v>
      </c>
      <c r="Q410">
        <v>0</v>
      </c>
      <c r="R410">
        <f>O410*P410</f>
        <v>2125</v>
      </c>
      <c r="S410" t="s">
        <v>91</v>
      </c>
      <c r="T410" t="str">
        <f>TRIM(S410)</f>
        <v>Net Banking</v>
      </c>
      <c r="U410">
        <v>36</v>
      </c>
      <c r="V410" t="s">
        <v>20</v>
      </c>
      <c r="W410">
        <v>3</v>
      </c>
    </row>
    <row r="411" spans="1:23" hidden="1" x14ac:dyDescent="0.3">
      <c r="A411" t="s">
        <v>651</v>
      </c>
      <c r="B411" s="2">
        <v>46135</v>
      </c>
      <c r="C411" s="2" t="str">
        <v>Apr</v>
      </c>
      <c r="D411" t="s">
        <v>652</v>
      </c>
      <c r="E411" t="s">
        <v>71</v>
      </c>
      <c r="F411" t="str">
        <f>TRIM(E411)</f>
        <v>Riya</v>
      </c>
      <c r="G411" t="s">
        <v>24</v>
      </c>
      <c r="I411" t="str">
        <f t="shared" si="6"/>
        <v>Chandigarh</v>
      </c>
      <c r="J411" t="s">
        <v>25</v>
      </c>
      <c r="K411">
        <f ca="1"/>
        <v>20</v>
      </c>
      <c r="N411" t="s">
        <v>26</v>
      </c>
      <c r="O411">
        <v>1</v>
      </c>
      <c r="P411">
        <v>1627</v>
      </c>
      <c r="Q411">
        <v>5</v>
      </c>
      <c r="R411">
        <f>O411*P411</f>
        <v>1627</v>
      </c>
      <c r="S411" t="s">
        <v>19</v>
      </c>
      <c r="T411" t="str">
        <f>TRIM(S411)</f>
        <v>UPI</v>
      </c>
      <c r="U411">
        <v>200</v>
      </c>
      <c r="V411" t="s">
        <v>20</v>
      </c>
      <c r="W411">
        <v>3</v>
      </c>
    </row>
    <row r="412" spans="1:23" hidden="1" x14ac:dyDescent="0.3">
      <c r="A412" t="s">
        <v>653</v>
      </c>
      <c r="B412" s="2">
        <v>46127</v>
      </c>
      <c r="C412" s="2" t="str">
        <v>Apr</v>
      </c>
      <c r="D412" t="s">
        <v>376</v>
      </c>
      <c r="E412" t="s">
        <v>43</v>
      </c>
      <c r="F412" t="str">
        <f>TRIM(E412)</f>
        <v>Aarav</v>
      </c>
      <c r="G412" t="s">
        <v>117</v>
      </c>
      <c r="I412" t="str">
        <f t="shared" si="6"/>
        <v>Ghaziabad</v>
      </c>
      <c r="J412" t="s">
        <v>131</v>
      </c>
      <c r="K412">
        <f ca="1"/>
        <v>27</v>
      </c>
      <c r="N412" t="s">
        <v>55</v>
      </c>
      <c r="O412">
        <v>1</v>
      </c>
      <c r="P412">
        <v>2600</v>
      </c>
      <c r="Q412">
        <v>15</v>
      </c>
      <c r="R412">
        <f>O412*P412</f>
        <v>2600</v>
      </c>
      <c r="S412" t="s">
        <v>19</v>
      </c>
      <c r="T412" t="str">
        <f>TRIM(S412)</f>
        <v>UPI</v>
      </c>
      <c r="U412">
        <v>200</v>
      </c>
      <c r="V412" t="s">
        <v>139</v>
      </c>
      <c r="W412">
        <v>4</v>
      </c>
    </row>
    <row r="413" spans="1:23" hidden="1" x14ac:dyDescent="0.3">
      <c r="A413" t="s">
        <v>654</v>
      </c>
      <c r="B413" s="2">
        <v>46111</v>
      </c>
      <c r="C413" s="2" t="str">
        <v>Mar</v>
      </c>
      <c r="D413" t="s">
        <v>133</v>
      </c>
      <c r="E413" t="s">
        <v>35</v>
      </c>
      <c r="F413" t="str">
        <f>TRIM(E413)</f>
        <v>Rohan</v>
      </c>
      <c r="G413" t="s">
        <v>65</v>
      </c>
      <c r="I413" t="str">
        <f t="shared" si="6"/>
        <v>Jaipur</v>
      </c>
      <c r="J413" t="s">
        <v>190</v>
      </c>
      <c r="K413">
        <f ca="1"/>
        <v>54</v>
      </c>
      <c r="N413" t="s">
        <v>55</v>
      </c>
      <c r="O413">
        <v>1</v>
      </c>
      <c r="P413">
        <v>3000</v>
      </c>
      <c r="Q413">
        <v>0</v>
      </c>
      <c r="R413">
        <f>O413*P413</f>
        <v>3000</v>
      </c>
      <c r="S413" t="s">
        <v>19</v>
      </c>
      <c r="T413" t="str">
        <f>TRIM(S413)</f>
        <v>UPI</v>
      </c>
      <c r="U413">
        <v>200</v>
      </c>
      <c r="V413" t="s">
        <v>20</v>
      </c>
      <c r="W413">
        <v>3</v>
      </c>
    </row>
    <row r="414" spans="1:23" hidden="1" x14ac:dyDescent="0.3">
      <c r="A414" t="s">
        <v>655</v>
      </c>
      <c r="B414" s="2">
        <v>46186</v>
      </c>
      <c r="C414" s="2" t="str">
        <v>Jun</v>
      </c>
      <c r="D414" t="s">
        <v>487</v>
      </c>
      <c r="E414" t="s">
        <v>116</v>
      </c>
      <c r="F414" t="str">
        <f>TRIM(E414)</f>
        <v>Priya</v>
      </c>
      <c r="G414" t="s">
        <v>36</v>
      </c>
      <c r="I414" t="str">
        <f t="shared" si="6"/>
        <v>Delhi</v>
      </c>
      <c r="J414" t="s">
        <v>127</v>
      </c>
      <c r="K414">
        <f ca="1"/>
        <v>41</v>
      </c>
      <c r="N414" t="s">
        <v>55</v>
      </c>
      <c r="O414">
        <v>1</v>
      </c>
      <c r="P414">
        <v>1800</v>
      </c>
      <c r="Q414">
        <v>15</v>
      </c>
      <c r="R414">
        <f>O414*P414</f>
        <v>1800</v>
      </c>
      <c r="S414" t="s">
        <v>27</v>
      </c>
      <c r="T414" t="str">
        <f>TRIM(S414)</f>
        <v>Card</v>
      </c>
      <c r="U414">
        <v>135</v>
      </c>
      <c r="V414" t="s">
        <v>20</v>
      </c>
      <c r="W414">
        <v>7</v>
      </c>
    </row>
    <row r="415" spans="1:23" x14ac:dyDescent="0.3">
      <c r="A415" t="s">
        <v>656</v>
      </c>
      <c r="B415" s="2">
        <v>46046</v>
      </c>
      <c r="C415" s="2" t="str">
        <v>Jan</v>
      </c>
      <c r="D415" t="s">
        <v>197</v>
      </c>
      <c r="E415" t="s">
        <v>43</v>
      </c>
      <c r="F415" t="str">
        <f>TRIM(E415)</f>
        <v>Aarav</v>
      </c>
      <c r="G415" t="s">
        <v>31</v>
      </c>
      <c r="I415" t="str">
        <f t="shared" si="6"/>
        <v>Noida</v>
      </c>
      <c r="J415" t="s">
        <v>135</v>
      </c>
      <c r="K415">
        <f ca="1"/>
        <v>28</v>
      </c>
      <c r="N415" t="s">
        <v>50</v>
      </c>
      <c r="O415">
        <v>1</v>
      </c>
      <c r="P415">
        <v>1541</v>
      </c>
      <c r="Q415">
        <v>15</v>
      </c>
      <c r="R415">
        <f>O415*P415</f>
        <v>1541</v>
      </c>
      <c r="S415" t="s">
        <v>56</v>
      </c>
      <c r="T415" t="str">
        <f>TRIM(S415)</f>
        <v>COD</v>
      </c>
      <c r="U415">
        <v>129</v>
      </c>
      <c r="V415" t="s">
        <v>20</v>
      </c>
      <c r="W415">
        <v>5</v>
      </c>
    </row>
    <row r="416" spans="1:23" hidden="1" x14ac:dyDescent="0.3">
      <c r="A416" t="s">
        <v>657</v>
      </c>
      <c r="B416" s="2">
        <v>46118</v>
      </c>
      <c r="C416" s="2" t="str">
        <v>Apr</v>
      </c>
      <c r="D416" t="s">
        <v>179</v>
      </c>
      <c r="E416" t="s">
        <v>23</v>
      </c>
      <c r="F416" t="str">
        <f>TRIM(E416)</f>
        <v>Pooja</v>
      </c>
      <c r="G416" t="s">
        <v>81</v>
      </c>
      <c r="I416" t="str">
        <f t="shared" si="6"/>
        <v>Faridabad</v>
      </c>
      <c r="J416" t="s">
        <v>82</v>
      </c>
      <c r="K416">
        <f ca="1"/>
        <v>33</v>
      </c>
      <c r="N416" t="s">
        <v>50</v>
      </c>
      <c r="O416">
        <v>1</v>
      </c>
      <c r="P416">
        <v>665</v>
      </c>
      <c r="Q416">
        <v>0</v>
      </c>
      <c r="R416">
        <f>O416*P416</f>
        <v>665</v>
      </c>
      <c r="S416" t="s">
        <v>19</v>
      </c>
      <c r="T416" t="str">
        <f>TRIM(S416)</f>
        <v>UPI</v>
      </c>
      <c r="U416">
        <v>200</v>
      </c>
      <c r="V416" t="s">
        <v>20</v>
      </c>
      <c r="W416">
        <v>4</v>
      </c>
    </row>
    <row r="417" spans="1:23" hidden="1" x14ac:dyDescent="0.3">
      <c r="A417" t="s">
        <v>658</v>
      </c>
      <c r="B417" s="2">
        <v>46126</v>
      </c>
      <c r="C417" s="2" t="str">
        <v>Apr</v>
      </c>
      <c r="D417" t="s">
        <v>395</v>
      </c>
      <c r="E417" t="s">
        <v>109</v>
      </c>
      <c r="F417" t="str">
        <f>TRIM(E417)</f>
        <v>Neha</v>
      </c>
      <c r="G417" t="s">
        <v>36</v>
      </c>
      <c r="I417" t="str">
        <f t="shared" si="6"/>
        <v>Delhi</v>
      </c>
      <c r="J417" t="s">
        <v>190</v>
      </c>
      <c r="K417">
        <f ca="1"/>
        <v>54</v>
      </c>
      <c r="N417" t="s">
        <v>55</v>
      </c>
      <c r="O417">
        <v>3</v>
      </c>
      <c r="P417">
        <v>2000</v>
      </c>
      <c r="Q417">
        <v>15</v>
      </c>
      <c r="R417">
        <f>O417*P417</f>
        <v>6000</v>
      </c>
      <c r="S417" t="s">
        <v>19</v>
      </c>
      <c r="T417" t="str">
        <f>TRIM(S417)</f>
        <v>UPI</v>
      </c>
      <c r="U417">
        <v>200</v>
      </c>
      <c r="V417" t="s">
        <v>20</v>
      </c>
      <c r="W417">
        <v>4</v>
      </c>
    </row>
    <row r="418" spans="1:23" hidden="1" x14ac:dyDescent="0.3">
      <c r="A418" t="s">
        <v>659</v>
      </c>
      <c r="B418" s="2">
        <v>46131</v>
      </c>
      <c r="C418" s="2" t="str">
        <v>Apr</v>
      </c>
      <c r="D418" t="s">
        <v>360</v>
      </c>
      <c r="E418" t="s">
        <v>116</v>
      </c>
      <c r="F418" t="str">
        <f>TRIM(E418)</f>
        <v>Priya</v>
      </c>
      <c r="G418" t="s">
        <v>65</v>
      </c>
      <c r="I418" t="str">
        <f t="shared" si="6"/>
        <v>Jaipur</v>
      </c>
      <c r="J418" t="s">
        <v>62</v>
      </c>
      <c r="K418">
        <f ca="1"/>
        <v>33</v>
      </c>
      <c r="N418" t="s">
        <v>50</v>
      </c>
      <c r="O418">
        <v>1</v>
      </c>
      <c r="P418">
        <v>1249</v>
      </c>
      <c r="Q418">
        <v>0</v>
      </c>
      <c r="R418">
        <f>O418*P418</f>
        <v>1249</v>
      </c>
      <c r="S418" t="s">
        <v>56</v>
      </c>
      <c r="T418" t="str">
        <f>TRIM(S418)</f>
        <v>COD</v>
      </c>
      <c r="U418">
        <v>129</v>
      </c>
      <c r="V418" t="s">
        <v>20</v>
      </c>
      <c r="W418">
        <v>1</v>
      </c>
    </row>
    <row r="419" spans="1:23" hidden="1" x14ac:dyDescent="0.3">
      <c r="A419" t="s">
        <v>660</v>
      </c>
      <c r="B419" s="2">
        <v>46132</v>
      </c>
      <c r="C419" s="2" t="str">
        <v>Apr</v>
      </c>
      <c r="D419" t="s">
        <v>432</v>
      </c>
      <c r="E419" t="s">
        <v>23</v>
      </c>
      <c r="F419" t="str">
        <f>TRIM(E419)</f>
        <v>Pooja</v>
      </c>
      <c r="G419" t="s">
        <v>36</v>
      </c>
      <c r="I419" t="str">
        <f t="shared" si="6"/>
        <v>Delhi</v>
      </c>
      <c r="J419" t="s">
        <v>135</v>
      </c>
      <c r="K419">
        <f ca="1"/>
        <v>28</v>
      </c>
      <c r="N419" t="s">
        <v>50</v>
      </c>
      <c r="O419">
        <v>2</v>
      </c>
      <c r="P419">
        <v>2198</v>
      </c>
      <c r="Q419">
        <v>20</v>
      </c>
      <c r="R419">
        <f>O419*P419</f>
        <v>4396</v>
      </c>
      <c r="S419" t="s">
        <v>27</v>
      </c>
      <c r="T419" t="str">
        <f>TRIM(S419)</f>
        <v>Card</v>
      </c>
      <c r="U419">
        <v>135</v>
      </c>
      <c r="V419" t="s">
        <v>20</v>
      </c>
      <c r="W419">
        <v>6</v>
      </c>
    </row>
    <row r="420" spans="1:23" x14ac:dyDescent="0.3">
      <c r="A420" t="s">
        <v>661</v>
      </c>
      <c r="B420" s="2">
        <v>46111</v>
      </c>
      <c r="C420" s="2" t="str">
        <v>Mar</v>
      </c>
      <c r="D420" t="s">
        <v>93</v>
      </c>
      <c r="E420" t="s">
        <v>94</v>
      </c>
      <c r="F420" t="str">
        <f>TRIM(E420)</f>
        <v>Karan</v>
      </c>
      <c r="G420" t="s">
        <v>31</v>
      </c>
      <c r="I420" t="str">
        <f t="shared" si="6"/>
        <v>Noida</v>
      </c>
      <c r="J420" t="s">
        <v>190</v>
      </c>
      <c r="K420">
        <f ca="1"/>
        <v>54</v>
      </c>
      <c r="N420" t="s">
        <v>55</v>
      </c>
      <c r="O420">
        <v>1</v>
      </c>
      <c r="P420">
        <v>2700</v>
      </c>
      <c r="Q420">
        <v>15</v>
      </c>
      <c r="R420">
        <f>O420*P420</f>
        <v>2700</v>
      </c>
      <c r="S420" t="s">
        <v>91</v>
      </c>
      <c r="T420" t="str">
        <f>TRIM(S420)</f>
        <v>Net Banking</v>
      </c>
      <c r="U420">
        <v>36</v>
      </c>
      <c r="V420" t="s">
        <v>20</v>
      </c>
      <c r="W420">
        <v>3</v>
      </c>
    </row>
    <row r="421" spans="1:23" hidden="1" x14ac:dyDescent="0.3">
      <c r="A421" t="s">
        <v>662</v>
      </c>
      <c r="B421" s="2">
        <v>46038</v>
      </c>
      <c r="C421" s="2" t="str">
        <v>Jan</v>
      </c>
      <c r="D421" t="s">
        <v>205</v>
      </c>
      <c r="E421" t="s">
        <v>98</v>
      </c>
      <c r="F421" t="str">
        <f>TRIM(E421)</f>
        <v>Meera</v>
      </c>
      <c r="G421" t="s">
        <v>24</v>
      </c>
      <c r="I421" t="str">
        <f t="shared" si="6"/>
        <v>Chandigarh</v>
      </c>
      <c r="J421" t="s">
        <v>49</v>
      </c>
      <c r="K421">
        <f ca="1"/>
        <v>29</v>
      </c>
      <c r="N421" t="s">
        <v>50</v>
      </c>
      <c r="O421">
        <v>1</v>
      </c>
      <c r="P421">
        <v>2490</v>
      </c>
      <c r="Q421">
        <v>5</v>
      </c>
      <c r="R421">
        <f>O421*P421</f>
        <v>2490</v>
      </c>
      <c r="S421" t="s">
        <v>19</v>
      </c>
      <c r="T421" t="str">
        <f>TRIM(S421)</f>
        <v>UPI</v>
      </c>
      <c r="U421">
        <v>200</v>
      </c>
      <c r="V421" t="s">
        <v>20</v>
      </c>
      <c r="W421">
        <v>2</v>
      </c>
    </row>
    <row r="422" spans="1:23" hidden="1" x14ac:dyDescent="0.3">
      <c r="A422" t="s">
        <v>663</v>
      </c>
      <c r="B422" s="2">
        <v>46183</v>
      </c>
      <c r="C422" s="2" t="str">
        <v>Jun</v>
      </c>
      <c r="D422" t="s">
        <v>151</v>
      </c>
      <c r="E422" t="s">
        <v>98</v>
      </c>
      <c r="F422" t="str">
        <f>TRIM(E422)</f>
        <v>Meera</v>
      </c>
      <c r="G422" t="s">
        <v>117</v>
      </c>
      <c r="I422" t="str">
        <f t="shared" si="6"/>
        <v>Ghaziabad</v>
      </c>
      <c r="J422" t="s">
        <v>213</v>
      </c>
      <c r="K422">
        <f ca="1"/>
        <v>14</v>
      </c>
      <c r="N422" t="s">
        <v>18</v>
      </c>
      <c r="O422">
        <v>2</v>
      </c>
      <c r="P422">
        <v>20923</v>
      </c>
      <c r="Q422">
        <v>15</v>
      </c>
      <c r="R422">
        <f>O422*P422</f>
        <v>41846</v>
      </c>
      <c r="S422" t="s">
        <v>56</v>
      </c>
      <c r="T422" t="str">
        <f>TRIM(S422)</f>
        <v>COD</v>
      </c>
      <c r="U422">
        <v>129</v>
      </c>
      <c r="V422" t="s">
        <v>20</v>
      </c>
      <c r="W422">
        <v>5</v>
      </c>
    </row>
    <row r="423" spans="1:23" hidden="1" x14ac:dyDescent="0.3">
      <c r="A423" t="s">
        <v>664</v>
      </c>
      <c r="B423" s="2">
        <v>46124</v>
      </c>
      <c r="C423" s="2" t="str">
        <v>Apr</v>
      </c>
      <c r="D423" t="s">
        <v>665</v>
      </c>
      <c r="E423" t="s">
        <v>149</v>
      </c>
      <c r="F423" t="str">
        <f>TRIM(E423)</f>
        <v>Rahul</v>
      </c>
      <c r="G423" t="s">
        <v>36</v>
      </c>
      <c r="I423" t="str">
        <f t="shared" si="6"/>
        <v>Delhi</v>
      </c>
      <c r="J423" t="s">
        <v>113</v>
      </c>
      <c r="K423">
        <f ca="1"/>
        <v>26</v>
      </c>
      <c r="N423" t="s">
        <v>26</v>
      </c>
      <c r="O423">
        <v>2</v>
      </c>
      <c r="P423">
        <v>1627</v>
      </c>
      <c r="Q423">
        <v>5</v>
      </c>
      <c r="R423">
        <f>O423*P423</f>
        <v>3254</v>
      </c>
      <c r="S423" t="s">
        <v>27</v>
      </c>
      <c r="T423" t="str">
        <f>TRIM(S423)</f>
        <v>Card</v>
      </c>
      <c r="U423">
        <v>135</v>
      </c>
      <c r="V423" t="s">
        <v>20</v>
      </c>
      <c r="W423">
        <v>2</v>
      </c>
    </row>
    <row r="424" spans="1:23" hidden="1" x14ac:dyDescent="0.3">
      <c r="A424" t="s">
        <v>666</v>
      </c>
      <c r="B424" s="2">
        <v>46112</v>
      </c>
      <c r="C424" s="2" t="str">
        <v>Mar</v>
      </c>
      <c r="D424" t="s">
        <v>302</v>
      </c>
      <c r="E424" t="s">
        <v>231</v>
      </c>
      <c r="F424" t="str">
        <f>TRIM(E424)</f>
        <v>Vivek</v>
      </c>
      <c r="G424" t="s">
        <v>36</v>
      </c>
      <c r="I424" t="str">
        <f t="shared" si="6"/>
        <v>Delhi</v>
      </c>
      <c r="J424" t="s">
        <v>54</v>
      </c>
      <c r="K424">
        <f ca="1"/>
        <v>31</v>
      </c>
      <c r="N424" t="s">
        <v>55</v>
      </c>
      <c r="O424">
        <v>1</v>
      </c>
      <c r="P424">
        <v>1700</v>
      </c>
      <c r="Q424">
        <v>0</v>
      </c>
      <c r="R424">
        <f>O424*P424</f>
        <v>1700</v>
      </c>
      <c r="S424" t="s">
        <v>19</v>
      </c>
      <c r="T424" t="str">
        <f>TRIM(S424)</f>
        <v>UPI</v>
      </c>
      <c r="U424">
        <v>200</v>
      </c>
      <c r="V424" t="s">
        <v>20</v>
      </c>
      <c r="W424">
        <v>4</v>
      </c>
    </row>
    <row r="425" spans="1:23" hidden="1" x14ac:dyDescent="0.3">
      <c r="A425" t="s">
        <v>667</v>
      </c>
      <c r="B425" s="2">
        <v>46033</v>
      </c>
      <c r="C425" s="2" t="str">
        <v>Jan</v>
      </c>
      <c r="D425" t="s">
        <v>58</v>
      </c>
      <c r="E425" t="s">
        <v>53</v>
      </c>
      <c r="F425" t="str">
        <f>TRIM(E425)</f>
        <v>Isha</v>
      </c>
      <c r="G425" t="s">
        <v>117</v>
      </c>
      <c r="I425" t="str">
        <f t="shared" si="6"/>
        <v>Ghaziabad</v>
      </c>
      <c r="J425" t="s">
        <v>25</v>
      </c>
      <c r="K425">
        <f ca="1"/>
        <v>20</v>
      </c>
      <c r="N425" t="s">
        <v>26</v>
      </c>
      <c r="O425">
        <v>1</v>
      </c>
      <c r="P425">
        <v>760</v>
      </c>
      <c r="Q425">
        <v>5</v>
      </c>
      <c r="R425">
        <f>O425*P425</f>
        <v>760</v>
      </c>
      <c r="S425" t="s">
        <v>27</v>
      </c>
      <c r="T425" t="str">
        <f>TRIM(S425)</f>
        <v>Card</v>
      </c>
      <c r="U425">
        <v>135</v>
      </c>
      <c r="V425" t="s">
        <v>20</v>
      </c>
      <c r="W425">
        <v>1</v>
      </c>
    </row>
    <row r="426" spans="1:23" hidden="1" x14ac:dyDescent="0.3">
      <c r="A426" t="s">
        <v>668</v>
      </c>
      <c r="B426" s="2">
        <v>46142</v>
      </c>
      <c r="C426" s="2" t="str">
        <v>Apr</v>
      </c>
      <c r="D426" t="s">
        <v>202</v>
      </c>
      <c r="E426" t="s">
        <v>109</v>
      </c>
      <c r="F426" t="str">
        <f>TRIM(E426)</f>
        <v>Neha</v>
      </c>
      <c r="G426" t="s">
        <v>36</v>
      </c>
      <c r="I426" t="str">
        <f t="shared" si="6"/>
        <v>Delhi</v>
      </c>
      <c r="J426" t="s">
        <v>122</v>
      </c>
      <c r="K426">
        <f ca="1"/>
        <v>10</v>
      </c>
      <c r="N426" t="s">
        <v>45</v>
      </c>
      <c r="O426">
        <v>2</v>
      </c>
      <c r="P426">
        <v>1350</v>
      </c>
      <c r="Q426">
        <v>15</v>
      </c>
      <c r="R426">
        <f>O426*P426</f>
        <v>2700</v>
      </c>
      <c r="S426" t="s">
        <v>19</v>
      </c>
      <c r="T426" t="str">
        <f>TRIM(S426)</f>
        <v>UPI</v>
      </c>
      <c r="U426">
        <v>200</v>
      </c>
      <c r="V426" t="s">
        <v>46</v>
      </c>
      <c r="W426">
        <v>0</v>
      </c>
    </row>
    <row r="427" spans="1:23" hidden="1" x14ac:dyDescent="0.3">
      <c r="A427" t="s">
        <v>669</v>
      </c>
      <c r="B427" s="2">
        <v>46068</v>
      </c>
      <c r="C427" s="2" t="str">
        <v>Feb</v>
      </c>
      <c r="D427" t="s">
        <v>22</v>
      </c>
      <c r="E427" t="s">
        <v>23</v>
      </c>
      <c r="F427" t="str">
        <f>TRIM(E427)</f>
        <v>Pooja</v>
      </c>
      <c r="G427" t="s">
        <v>81</v>
      </c>
      <c r="I427" t="str">
        <f t="shared" si="6"/>
        <v>Faridabad</v>
      </c>
      <c r="J427" t="s">
        <v>95</v>
      </c>
      <c r="K427">
        <f ca="1"/>
        <v>28</v>
      </c>
      <c r="N427" t="s">
        <v>45</v>
      </c>
      <c r="O427">
        <v>2</v>
      </c>
      <c r="P427">
        <v>1350</v>
      </c>
      <c r="Q427">
        <v>5</v>
      </c>
      <c r="R427">
        <f>O427*P427</f>
        <v>2700</v>
      </c>
      <c r="S427" t="s">
        <v>91</v>
      </c>
      <c r="T427" t="str">
        <f>TRIM(S427)</f>
        <v>Net Banking</v>
      </c>
      <c r="U427">
        <v>36</v>
      </c>
      <c r="V427" t="s">
        <v>20</v>
      </c>
      <c r="W427">
        <v>2</v>
      </c>
    </row>
    <row r="428" spans="1:23" hidden="1" x14ac:dyDescent="0.3">
      <c r="A428" t="s">
        <v>670</v>
      </c>
      <c r="B428" s="2">
        <v>46029</v>
      </c>
      <c r="C428" s="2" t="str">
        <v>Jan</v>
      </c>
      <c r="D428" t="s">
        <v>671</v>
      </c>
      <c r="E428" t="s">
        <v>71</v>
      </c>
      <c r="F428" t="str">
        <f>TRIM(E428)</f>
        <v>Riya</v>
      </c>
      <c r="G428" t="s">
        <v>40</v>
      </c>
      <c r="I428" t="str">
        <f t="shared" si="6"/>
        <v>Gurugram</v>
      </c>
      <c r="J428" t="s">
        <v>127</v>
      </c>
      <c r="K428">
        <f ca="1"/>
        <v>41</v>
      </c>
      <c r="N428" t="s">
        <v>55</v>
      </c>
      <c r="O428">
        <v>2</v>
      </c>
      <c r="P428">
        <v>2700</v>
      </c>
      <c r="Q428">
        <v>5</v>
      </c>
      <c r="R428">
        <f>O428*P428</f>
        <v>5400</v>
      </c>
      <c r="S428" t="s">
        <v>27</v>
      </c>
      <c r="T428" t="str">
        <f>TRIM(S428)</f>
        <v>Card</v>
      </c>
      <c r="U428">
        <v>135</v>
      </c>
      <c r="V428" t="s">
        <v>20</v>
      </c>
      <c r="W428">
        <v>4</v>
      </c>
    </row>
    <row r="429" spans="1:23" hidden="1" x14ac:dyDescent="0.3">
      <c r="A429" t="s">
        <v>672</v>
      </c>
      <c r="B429" s="2">
        <v>46186</v>
      </c>
      <c r="C429" s="2" t="str">
        <v>Jun</v>
      </c>
      <c r="D429" t="s">
        <v>228</v>
      </c>
      <c r="E429" t="s">
        <v>15</v>
      </c>
      <c r="F429" t="str">
        <f>TRIM(E429)</f>
        <v>Aditya</v>
      </c>
      <c r="G429" t="s">
        <v>36</v>
      </c>
      <c r="I429" t="str">
        <f t="shared" si="6"/>
        <v>Delhi</v>
      </c>
      <c r="J429" t="s">
        <v>32</v>
      </c>
      <c r="K429">
        <f ca="1"/>
        <v>36</v>
      </c>
      <c r="N429" t="s">
        <v>18</v>
      </c>
      <c r="O429">
        <v>1</v>
      </c>
      <c r="P429">
        <v>29888</v>
      </c>
      <c r="Q429">
        <v>0</v>
      </c>
      <c r="R429">
        <f>O429*P429</f>
        <v>29888</v>
      </c>
      <c r="S429" t="s">
        <v>91</v>
      </c>
      <c r="T429" t="str">
        <f>TRIM(S429)</f>
        <v>Net Banking</v>
      </c>
      <c r="U429">
        <v>36</v>
      </c>
      <c r="V429" t="s">
        <v>20</v>
      </c>
      <c r="W429">
        <v>5</v>
      </c>
    </row>
    <row r="430" spans="1:23" hidden="1" x14ac:dyDescent="0.3">
      <c r="A430" t="s">
        <v>673</v>
      </c>
      <c r="B430" s="2">
        <v>46201</v>
      </c>
      <c r="C430" s="2" t="str">
        <v>Jun</v>
      </c>
      <c r="D430" t="s">
        <v>239</v>
      </c>
      <c r="E430" t="s">
        <v>149</v>
      </c>
      <c r="F430" t="str">
        <f>TRIM(E430)</f>
        <v>Rahul</v>
      </c>
      <c r="G430" t="s">
        <v>36</v>
      </c>
      <c r="I430" t="str">
        <f t="shared" si="6"/>
        <v>Delhi</v>
      </c>
      <c r="J430" t="s">
        <v>135</v>
      </c>
      <c r="K430">
        <f ca="1"/>
        <v>28</v>
      </c>
      <c r="N430" t="s">
        <v>50</v>
      </c>
      <c r="O430">
        <v>1</v>
      </c>
      <c r="P430">
        <v>1833</v>
      </c>
      <c r="Q430">
        <v>0</v>
      </c>
      <c r="R430">
        <f>O430*P430</f>
        <v>1833</v>
      </c>
      <c r="S430" t="s">
        <v>56</v>
      </c>
      <c r="T430" t="str">
        <f>TRIM(S430)</f>
        <v>COD</v>
      </c>
      <c r="U430">
        <v>129</v>
      </c>
      <c r="V430" t="s">
        <v>46</v>
      </c>
      <c r="W430">
        <v>0</v>
      </c>
    </row>
    <row r="431" spans="1:23" hidden="1" x14ac:dyDescent="0.3">
      <c r="A431" t="s">
        <v>674</v>
      </c>
      <c r="B431" s="2">
        <v>46103</v>
      </c>
      <c r="C431" s="2" t="str">
        <v>Mar</v>
      </c>
      <c r="D431" t="s">
        <v>620</v>
      </c>
      <c r="E431" t="s">
        <v>149</v>
      </c>
      <c r="F431" t="str">
        <f>TRIM(E431)</f>
        <v>Rahul</v>
      </c>
      <c r="G431" t="s">
        <v>24</v>
      </c>
      <c r="I431" t="str">
        <f t="shared" si="6"/>
        <v>Chandigarh</v>
      </c>
      <c r="J431" t="s">
        <v>90</v>
      </c>
      <c r="K431">
        <f ca="1"/>
        <v>41</v>
      </c>
      <c r="N431" t="s">
        <v>18</v>
      </c>
      <c r="O431">
        <v>1</v>
      </c>
      <c r="P431">
        <v>44232</v>
      </c>
      <c r="Q431">
        <v>10</v>
      </c>
      <c r="R431">
        <f>O431*P431</f>
        <v>44232</v>
      </c>
      <c r="S431" t="s">
        <v>19</v>
      </c>
      <c r="T431" t="str">
        <f>TRIM(S431)</f>
        <v>UPI</v>
      </c>
      <c r="U431">
        <v>200</v>
      </c>
      <c r="V431" t="s">
        <v>20</v>
      </c>
      <c r="W431">
        <v>3</v>
      </c>
    </row>
    <row r="432" spans="1:23" hidden="1" x14ac:dyDescent="0.3">
      <c r="A432" t="s">
        <v>675</v>
      </c>
      <c r="B432" s="2">
        <v>46026</v>
      </c>
      <c r="C432" s="2" t="str">
        <v>Jan</v>
      </c>
      <c r="D432" t="s">
        <v>370</v>
      </c>
      <c r="E432" t="s">
        <v>231</v>
      </c>
      <c r="F432" t="str">
        <f>TRIM(E432)</f>
        <v>Vivek</v>
      </c>
      <c r="G432" t="s">
        <v>81</v>
      </c>
      <c r="I432" t="str">
        <f t="shared" si="6"/>
        <v>Faridabad</v>
      </c>
      <c r="J432" t="s">
        <v>90</v>
      </c>
      <c r="K432">
        <f ca="1"/>
        <v>41</v>
      </c>
      <c r="N432" t="s">
        <v>18</v>
      </c>
      <c r="O432">
        <v>1</v>
      </c>
      <c r="P432">
        <v>6579</v>
      </c>
      <c r="Q432">
        <v>10</v>
      </c>
      <c r="R432">
        <f>O432*P432</f>
        <v>6579</v>
      </c>
      <c r="S432" t="s">
        <v>56</v>
      </c>
      <c r="T432" t="str">
        <f>TRIM(S432)</f>
        <v>COD</v>
      </c>
      <c r="U432">
        <v>129</v>
      </c>
      <c r="V432" t="s">
        <v>20</v>
      </c>
      <c r="W432">
        <v>2</v>
      </c>
    </row>
    <row r="433" spans="1:23" hidden="1" x14ac:dyDescent="0.3">
      <c r="A433" t="s">
        <v>676</v>
      </c>
      <c r="B433" s="2">
        <v>46058</v>
      </c>
      <c r="C433" s="2" t="str">
        <v>Feb</v>
      </c>
      <c r="D433" t="s">
        <v>202</v>
      </c>
      <c r="E433" t="s">
        <v>109</v>
      </c>
      <c r="F433" t="str">
        <f>TRIM(E433)</f>
        <v>Neha</v>
      </c>
      <c r="G433" t="s">
        <v>117</v>
      </c>
      <c r="I433" t="str">
        <f t="shared" si="6"/>
        <v>Ghaziabad</v>
      </c>
      <c r="J433" t="s">
        <v>213</v>
      </c>
      <c r="K433">
        <f ca="1"/>
        <v>14</v>
      </c>
      <c r="N433" t="s">
        <v>18</v>
      </c>
      <c r="O433">
        <v>1</v>
      </c>
      <c r="P433">
        <v>24509</v>
      </c>
      <c r="Q433">
        <v>0</v>
      </c>
      <c r="R433">
        <f>O433*P433</f>
        <v>24509</v>
      </c>
      <c r="S433" t="s">
        <v>56</v>
      </c>
      <c r="T433" t="str">
        <f>TRIM(S433)</f>
        <v>COD</v>
      </c>
      <c r="U433">
        <v>129</v>
      </c>
      <c r="V433" t="s">
        <v>20</v>
      </c>
      <c r="W433">
        <v>3</v>
      </c>
    </row>
    <row r="434" spans="1:23" hidden="1" x14ac:dyDescent="0.3">
      <c r="A434" t="s">
        <v>677</v>
      </c>
      <c r="B434" s="2">
        <v>46039</v>
      </c>
      <c r="C434" s="2" t="str">
        <v>Jan</v>
      </c>
      <c r="D434" t="s">
        <v>642</v>
      </c>
      <c r="E434" t="s">
        <v>61</v>
      </c>
      <c r="F434" t="str">
        <f>TRIM(E434)</f>
        <v>Nikhil</v>
      </c>
      <c r="G434" t="s">
        <v>40</v>
      </c>
      <c r="I434" t="str">
        <f t="shared" si="6"/>
        <v>Gurugram</v>
      </c>
      <c r="J434" t="s">
        <v>127</v>
      </c>
      <c r="K434">
        <f ca="1"/>
        <v>41</v>
      </c>
      <c r="N434" t="s">
        <v>55</v>
      </c>
      <c r="O434">
        <v>1</v>
      </c>
      <c r="P434">
        <v>800</v>
      </c>
      <c r="Q434">
        <v>5</v>
      </c>
      <c r="R434">
        <f>O434*P434</f>
        <v>800</v>
      </c>
      <c r="S434" t="s">
        <v>56</v>
      </c>
      <c r="T434" t="str">
        <f>TRIM(S434)</f>
        <v>COD</v>
      </c>
      <c r="U434">
        <v>129</v>
      </c>
      <c r="V434" t="s">
        <v>46</v>
      </c>
      <c r="W434">
        <v>0</v>
      </c>
    </row>
    <row r="435" spans="1:23" x14ac:dyDescent="0.3">
      <c r="A435" t="s">
        <v>678</v>
      </c>
      <c r="B435" s="2">
        <v>46040</v>
      </c>
      <c r="C435" s="2" t="str">
        <v>Jan</v>
      </c>
      <c r="D435" t="s">
        <v>327</v>
      </c>
      <c r="E435" t="s">
        <v>35</v>
      </c>
      <c r="F435" t="str">
        <f>TRIM(E435)</f>
        <v>Rohan</v>
      </c>
      <c r="G435" t="s">
        <v>31</v>
      </c>
      <c r="I435" t="str">
        <f t="shared" si="6"/>
        <v>Noida</v>
      </c>
      <c r="J435" t="s">
        <v>17</v>
      </c>
      <c r="K435">
        <f ca="1"/>
        <v>55</v>
      </c>
      <c r="N435" t="s">
        <v>18</v>
      </c>
      <c r="O435">
        <v>1</v>
      </c>
      <c r="P435">
        <v>1200</v>
      </c>
      <c r="Q435">
        <v>25</v>
      </c>
      <c r="R435">
        <f>O435*P435</f>
        <v>1200</v>
      </c>
      <c r="S435" t="s">
        <v>19</v>
      </c>
      <c r="T435" t="str">
        <f>TRIM(S435)</f>
        <v>UPI</v>
      </c>
      <c r="U435">
        <v>200</v>
      </c>
      <c r="V435" t="s">
        <v>20</v>
      </c>
      <c r="W435">
        <v>5</v>
      </c>
    </row>
    <row r="436" spans="1:23" hidden="1" x14ac:dyDescent="0.3">
      <c r="A436" t="s">
        <v>679</v>
      </c>
      <c r="B436" s="2">
        <v>46174</v>
      </c>
      <c r="C436" s="2" t="str">
        <v>Jun</v>
      </c>
      <c r="D436" t="s">
        <v>207</v>
      </c>
      <c r="E436" t="s">
        <v>53</v>
      </c>
      <c r="F436" t="str">
        <f>TRIM(E436)</f>
        <v>Isha</v>
      </c>
      <c r="G436" t="s">
        <v>40</v>
      </c>
      <c r="I436" t="str">
        <f t="shared" si="6"/>
        <v>Gurugram</v>
      </c>
      <c r="J436" t="s">
        <v>135</v>
      </c>
      <c r="K436">
        <f ca="1"/>
        <v>28</v>
      </c>
      <c r="N436" t="s">
        <v>50</v>
      </c>
      <c r="O436">
        <v>2</v>
      </c>
      <c r="P436">
        <v>2417</v>
      </c>
      <c r="Q436">
        <v>10</v>
      </c>
      <c r="R436">
        <f>O436*P436</f>
        <v>4834</v>
      </c>
      <c r="S436" t="s">
        <v>56</v>
      </c>
      <c r="T436" t="str">
        <f>TRIM(S436)</f>
        <v>COD</v>
      </c>
      <c r="U436">
        <v>129</v>
      </c>
      <c r="V436" t="s">
        <v>46</v>
      </c>
      <c r="W436">
        <v>0</v>
      </c>
    </row>
    <row r="437" spans="1:23" hidden="1" x14ac:dyDescent="0.3">
      <c r="A437" t="s">
        <v>680</v>
      </c>
      <c r="B437" s="2">
        <v>46189</v>
      </c>
      <c r="C437" s="2" t="str">
        <v>Jun</v>
      </c>
      <c r="D437" t="s">
        <v>155</v>
      </c>
      <c r="E437" t="s">
        <v>39</v>
      </c>
      <c r="F437" t="str">
        <f>TRIM(E437)</f>
        <v>Aman</v>
      </c>
      <c r="G437" t="s">
        <v>24</v>
      </c>
      <c r="I437" t="str">
        <f t="shared" si="6"/>
        <v>Chandigarh</v>
      </c>
      <c r="J437" t="s">
        <v>17</v>
      </c>
      <c r="K437">
        <f ca="1"/>
        <v>55</v>
      </c>
      <c r="N437" t="s">
        <v>18</v>
      </c>
      <c r="O437">
        <v>1</v>
      </c>
      <c r="P437">
        <v>1200</v>
      </c>
      <c r="Q437">
        <v>5</v>
      </c>
      <c r="R437">
        <f>O437*P437</f>
        <v>1200</v>
      </c>
      <c r="S437" t="s">
        <v>27</v>
      </c>
      <c r="T437" t="str">
        <f>TRIM(S437)</f>
        <v>Card</v>
      </c>
      <c r="U437">
        <v>135</v>
      </c>
      <c r="V437" t="s">
        <v>20</v>
      </c>
      <c r="W437">
        <v>3</v>
      </c>
    </row>
    <row r="438" spans="1:23" hidden="1" x14ac:dyDescent="0.3">
      <c r="A438" t="s">
        <v>681</v>
      </c>
      <c r="B438" s="2">
        <v>46187</v>
      </c>
      <c r="C438" s="2" t="str">
        <v>Jun</v>
      </c>
      <c r="D438" t="s">
        <v>239</v>
      </c>
      <c r="E438" t="s">
        <v>149</v>
      </c>
      <c r="F438" t="str">
        <f>TRIM(E438)</f>
        <v>Rahul</v>
      </c>
      <c r="G438" t="s">
        <v>65</v>
      </c>
      <c r="I438" t="str">
        <f t="shared" si="6"/>
        <v>Jaipur</v>
      </c>
      <c r="J438" t="s">
        <v>25</v>
      </c>
      <c r="K438">
        <f ca="1"/>
        <v>20</v>
      </c>
      <c r="N438" t="s">
        <v>26</v>
      </c>
      <c r="O438">
        <v>2</v>
      </c>
      <c r="P438">
        <v>760</v>
      </c>
      <c r="Q438">
        <v>10</v>
      </c>
      <c r="R438">
        <f>O438*P438</f>
        <v>1520</v>
      </c>
      <c r="S438" t="s">
        <v>19</v>
      </c>
      <c r="T438" t="str">
        <f>TRIM(S438)</f>
        <v>UPI</v>
      </c>
      <c r="U438">
        <v>200</v>
      </c>
      <c r="V438" t="s">
        <v>20</v>
      </c>
      <c r="W438">
        <v>1</v>
      </c>
    </row>
    <row r="439" spans="1:23" hidden="1" x14ac:dyDescent="0.3">
      <c r="A439" t="s">
        <v>682</v>
      </c>
      <c r="B439" s="2">
        <v>46194</v>
      </c>
      <c r="C439" s="2" t="str">
        <v>Jun</v>
      </c>
      <c r="D439" t="s">
        <v>510</v>
      </c>
      <c r="E439" t="s">
        <v>23</v>
      </c>
      <c r="F439" t="str">
        <f>TRIM(E439)</f>
        <v>Pooja</v>
      </c>
      <c r="G439" t="s">
        <v>24</v>
      </c>
      <c r="I439" t="str">
        <f t="shared" si="6"/>
        <v>Chandigarh</v>
      </c>
      <c r="J439" t="s">
        <v>127</v>
      </c>
      <c r="K439">
        <f ca="1"/>
        <v>41</v>
      </c>
      <c r="N439" t="s">
        <v>55</v>
      </c>
      <c r="O439">
        <v>1</v>
      </c>
      <c r="P439">
        <v>2500</v>
      </c>
      <c r="Q439">
        <v>25</v>
      </c>
      <c r="R439">
        <f>O439*P439</f>
        <v>2500</v>
      </c>
      <c r="S439" t="s">
        <v>27</v>
      </c>
      <c r="T439" t="str">
        <f>TRIM(S439)</f>
        <v>Card</v>
      </c>
      <c r="U439">
        <v>135</v>
      </c>
      <c r="V439" t="s">
        <v>20</v>
      </c>
      <c r="W439">
        <v>5</v>
      </c>
    </row>
    <row r="440" spans="1:23" hidden="1" x14ac:dyDescent="0.3">
      <c r="A440" t="s">
        <v>683</v>
      </c>
      <c r="B440" s="2">
        <v>46195</v>
      </c>
      <c r="C440" s="2" t="str">
        <v>Jun</v>
      </c>
      <c r="D440" t="s">
        <v>137</v>
      </c>
      <c r="E440" t="s">
        <v>71</v>
      </c>
      <c r="F440" t="str">
        <f>TRIM(E440)</f>
        <v>Riya</v>
      </c>
      <c r="G440" t="s">
        <v>16</v>
      </c>
      <c r="I440" t="str">
        <f t="shared" si="6"/>
        <v>Lucknow</v>
      </c>
      <c r="J440" t="s">
        <v>113</v>
      </c>
      <c r="K440">
        <f ca="1"/>
        <v>26</v>
      </c>
      <c r="N440" t="s">
        <v>26</v>
      </c>
      <c r="O440">
        <v>1</v>
      </c>
      <c r="P440">
        <v>709</v>
      </c>
      <c r="Q440">
        <v>15</v>
      </c>
      <c r="R440">
        <f>O440*P440</f>
        <v>709</v>
      </c>
      <c r="S440" t="s">
        <v>27</v>
      </c>
      <c r="T440" t="str">
        <f>TRIM(S440)</f>
        <v>Card</v>
      </c>
      <c r="U440">
        <v>135</v>
      </c>
      <c r="V440" t="s">
        <v>20</v>
      </c>
      <c r="W440">
        <v>1</v>
      </c>
    </row>
    <row r="441" spans="1:23" hidden="1" x14ac:dyDescent="0.3">
      <c r="A441" t="s">
        <v>684</v>
      </c>
      <c r="B441" s="2">
        <v>46145</v>
      </c>
      <c r="C441" s="2" t="str">
        <v>May</v>
      </c>
      <c r="D441" t="s">
        <v>148</v>
      </c>
      <c r="E441" t="s">
        <v>149</v>
      </c>
      <c r="F441" t="str">
        <f>TRIM(E441)</f>
        <v>Rahul</v>
      </c>
      <c r="G441" t="s">
        <v>36</v>
      </c>
      <c r="I441" t="str">
        <f t="shared" si="6"/>
        <v>Delhi</v>
      </c>
      <c r="J441" t="s">
        <v>32</v>
      </c>
      <c r="K441">
        <f ca="1"/>
        <v>36</v>
      </c>
      <c r="N441" t="s">
        <v>18</v>
      </c>
      <c r="O441">
        <v>1</v>
      </c>
      <c r="P441">
        <v>51404</v>
      </c>
      <c r="Q441">
        <v>0</v>
      </c>
      <c r="R441">
        <f>O441*P441</f>
        <v>51404</v>
      </c>
      <c r="S441" t="s">
        <v>19</v>
      </c>
      <c r="T441" t="str">
        <f>TRIM(S441)</f>
        <v>UPI</v>
      </c>
      <c r="U441">
        <v>200</v>
      </c>
      <c r="V441" t="s">
        <v>20</v>
      </c>
      <c r="W441">
        <v>1</v>
      </c>
    </row>
    <row r="442" spans="1:23" hidden="1" x14ac:dyDescent="0.3">
      <c r="A442" t="s">
        <v>685</v>
      </c>
      <c r="B442" s="2">
        <v>46106</v>
      </c>
      <c r="C442" s="2" t="str">
        <v>Mar</v>
      </c>
      <c r="D442" t="s">
        <v>502</v>
      </c>
      <c r="E442" t="s">
        <v>80</v>
      </c>
      <c r="F442" t="str">
        <f>TRIM(E442)</f>
        <v>Varun</v>
      </c>
      <c r="G442" t="s">
        <v>40</v>
      </c>
      <c r="I442" t="str">
        <f t="shared" si="6"/>
        <v>Gurugram</v>
      </c>
      <c r="J442" t="s">
        <v>213</v>
      </c>
      <c r="K442">
        <f ca="1"/>
        <v>14</v>
      </c>
      <c r="N442" t="s">
        <v>18</v>
      </c>
      <c r="O442">
        <v>1</v>
      </c>
      <c r="P442">
        <v>22716</v>
      </c>
      <c r="Q442">
        <v>10</v>
      </c>
      <c r="R442">
        <f>O442*P442</f>
        <v>22716</v>
      </c>
      <c r="S442" t="s">
        <v>91</v>
      </c>
      <c r="T442" t="str">
        <f>TRIM(S442)</f>
        <v>Net Banking</v>
      </c>
      <c r="U442">
        <v>36</v>
      </c>
      <c r="V442" t="s">
        <v>20</v>
      </c>
      <c r="W442">
        <v>3</v>
      </c>
    </row>
    <row r="443" spans="1:23" hidden="1" x14ac:dyDescent="0.3">
      <c r="A443" t="s">
        <v>686</v>
      </c>
      <c r="B443" s="2">
        <v>46099</v>
      </c>
      <c r="C443" s="2" t="str">
        <v>Mar</v>
      </c>
      <c r="D443" t="s">
        <v>74</v>
      </c>
      <c r="E443" t="s">
        <v>75</v>
      </c>
      <c r="F443" t="str">
        <f>TRIM(E443)</f>
        <v>Sneha</v>
      </c>
      <c r="G443" t="s">
        <v>36</v>
      </c>
      <c r="I443" t="str">
        <f t="shared" si="6"/>
        <v>Delhi</v>
      </c>
      <c r="J443" t="s">
        <v>44</v>
      </c>
      <c r="K443">
        <f ca="1"/>
        <v>29</v>
      </c>
      <c r="N443" t="s">
        <v>45</v>
      </c>
      <c r="O443">
        <v>3</v>
      </c>
      <c r="P443">
        <v>550</v>
      </c>
      <c r="Q443">
        <v>10</v>
      </c>
      <c r="R443">
        <f>O443*P443</f>
        <v>1650</v>
      </c>
      <c r="S443" t="s">
        <v>27</v>
      </c>
      <c r="T443" t="str">
        <f>TRIM(S443)</f>
        <v>Card</v>
      </c>
      <c r="U443">
        <v>135</v>
      </c>
      <c r="V443" t="s">
        <v>20</v>
      </c>
      <c r="W443">
        <v>1</v>
      </c>
    </row>
    <row r="444" spans="1:23" hidden="1" x14ac:dyDescent="0.3">
      <c r="A444" t="s">
        <v>687</v>
      </c>
      <c r="B444" s="2">
        <v>46072</v>
      </c>
      <c r="C444" s="2" t="str">
        <v>Feb</v>
      </c>
      <c r="D444" t="s">
        <v>309</v>
      </c>
      <c r="E444" t="s">
        <v>30</v>
      </c>
      <c r="F444" t="str">
        <f>TRIM(E444)</f>
        <v>Simran</v>
      </c>
      <c r="G444" t="s">
        <v>36</v>
      </c>
      <c r="I444" t="str">
        <f t="shared" si="6"/>
        <v>Delhi</v>
      </c>
      <c r="J444" t="s">
        <v>90</v>
      </c>
      <c r="K444">
        <f ca="1"/>
        <v>41</v>
      </c>
      <c r="N444" t="s">
        <v>18</v>
      </c>
      <c r="O444">
        <v>1</v>
      </c>
      <c r="P444">
        <v>24509</v>
      </c>
      <c r="Q444">
        <v>5</v>
      </c>
      <c r="R444">
        <f>O444*P444</f>
        <v>24509</v>
      </c>
      <c r="S444" t="s">
        <v>19</v>
      </c>
      <c r="T444" t="str">
        <f>TRIM(S444)</f>
        <v>UPI</v>
      </c>
      <c r="U444">
        <v>200</v>
      </c>
      <c r="V444" t="s">
        <v>139</v>
      </c>
      <c r="W444">
        <v>6</v>
      </c>
    </row>
    <row r="445" spans="1:23" hidden="1" x14ac:dyDescent="0.3">
      <c r="A445" t="s">
        <v>688</v>
      </c>
      <c r="B445" s="2">
        <v>46047</v>
      </c>
      <c r="C445" s="2" t="str">
        <v>Jan</v>
      </c>
      <c r="D445" t="s">
        <v>210</v>
      </c>
      <c r="E445" t="s">
        <v>101</v>
      </c>
      <c r="F445" t="str">
        <f>TRIM(E445)</f>
        <v>Arjun</v>
      </c>
      <c r="G445" t="s">
        <v>36</v>
      </c>
      <c r="I445" t="str">
        <f t="shared" si="6"/>
        <v>Delhi</v>
      </c>
      <c r="J445" t="s">
        <v>190</v>
      </c>
      <c r="K445">
        <f ca="1"/>
        <v>54</v>
      </c>
      <c r="N445" t="s">
        <v>55</v>
      </c>
      <c r="O445">
        <v>2</v>
      </c>
      <c r="P445">
        <v>2200</v>
      </c>
      <c r="Q445">
        <v>0</v>
      </c>
      <c r="R445">
        <f>O445*P445</f>
        <v>4400</v>
      </c>
      <c r="S445" t="s">
        <v>19</v>
      </c>
      <c r="T445" t="str">
        <f>TRIM(S445)</f>
        <v>UPI</v>
      </c>
      <c r="U445">
        <v>200</v>
      </c>
      <c r="V445" t="s">
        <v>20</v>
      </c>
      <c r="W445">
        <v>4</v>
      </c>
    </row>
    <row r="446" spans="1:23" hidden="1" x14ac:dyDescent="0.3">
      <c r="A446" t="s">
        <v>689</v>
      </c>
      <c r="B446" s="2">
        <v>46068</v>
      </c>
      <c r="C446" s="2" t="str">
        <v>Feb</v>
      </c>
      <c r="D446" t="s">
        <v>108</v>
      </c>
      <c r="E446" t="s">
        <v>109</v>
      </c>
      <c r="F446" t="str">
        <f>TRIM(E446)</f>
        <v>Neha</v>
      </c>
      <c r="G446" t="s">
        <v>24</v>
      </c>
      <c r="I446" t="str">
        <f t="shared" si="6"/>
        <v>Chandigarh</v>
      </c>
      <c r="J446" t="s">
        <v>90</v>
      </c>
      <c r="K446">
        <f ca="1"/>
        <v>41</v>
      </c>
      <c r="N446" t="s">
        <v>18</v>
      </c>
      <c r="O446">
        <v>1</v>
      </c>
      <c r="P446">
        <v>13751</v>
      </c>
      <c r="Q446">
        <v>25</v>
      </c>
      <c r="R446">
        <f>O446*P446</f>
        <v>13751</v>
      </c>
      <c r="S446" t="s">
        <v>19</v>
      </c>
      <c r="T446" t="str">
        <f>TRIM(S446)</f>
        <v>UPI</v>
      </c>
      <c r="U446">
        <v>200</v>
      </c>
      <c r="V446" t="s">
        <v>20</v>
      </c>
      <c r="W446">
        <v>5</v>
      </c>
    </row>
    <row r="447" spans="1:23" hidden="1" x14ac:dyDescent="0.3">
      <c r="A447" t="s">
        <v>690</v>
      </c>
      <c r="B447" s="2">
        <v>46170</v>
      </c>
      <c r="C447" s="2" t="str">
        <v>May</v>
      </c>
      <c r="D447" t="s">
        <v>470</v>
      </c>
      <c r="E447" t="s">
        <v>184</v>
      </c>
      <c r="F447" t="str">
        <f>TRIM(E447)</f>
        <v>Kavya</v>
      </c>
      <c r="G447" t="s">
        <v>36</v>
      </c>
      <c r="I447" t="str">
        <f t="shared" si="6"/>
        <v>Delhi</v>
      </c>
      <c r="J447" t="s">
        <v>25</v>
      </c>
      <c r="K447">
        <f ca="1"/>
        <v>20</v>
      </c>
      <c r="N447" t="s">
        <v>26</v>
      </c>
      <c r="O447">
        <v>1</v>
      </c>
      <c r="P447">
        <v>709</v>
      </c>
      <c r="Q447">
        <v>10</v>
      </c>
      <c r="R447">
        <f>O447*P447</f>
        <v>709</v>
      </c>
      <c r="S447" t="s">
        <v>91</v>
      </c>
      <c r="T447" t="str">
        <f>TRIM(S447)</f>
        <v>Net Banking</v>
      </c>
      <c r="U447">
        <v>36</v>
      </c>
      <c r="V447" t="s">
        <v>20</v>
      </c>
      <c r="W447">
        <v>1</v>
      </c>
    </row>
    <row r="448" spans="1:23" x14ac:dyDescent="0.3">
      <c r="A448" t="s">
        <v>691</v>
      </c>
      <c r="B448" s="2">
        <v>46057</v>
      </c>
      <c r="C448" s="2" t="str">
        <v>Feb</v>
      </c>
      <c r="D448" t="s">
        <v>151</v>
      </c>
      <c r="E448" t="s">
        <v>98</v>
      </c>
      <c r="F448" t="str">
        <f>TRIM(E448)</f>
        <v>Meera</v>
      </c>
      <c r="G448" t="s">
        <v>31</v>
      </c>
      <c r="I448" t="str">
        <f t="shared" si="6"/>
        <v>Noida</v>
      </c>
      <c r="J448" t="s">
        <v>135</v>
      </c>
      <c r="K448">
        <f ca="1"/>
        <v>28</v>
      </c>
      <c r="N448" t="s">
        <v>50</v>
      </c>
      <c r="O448">
        <v>1</v>
      </c>
      <c r="P448">
        <v>1103</v>
      </c>
      <c r="Q448">
        <v>10</v>
      </c>
      <c r="R448">
        <f>O448*P448</f>
        <v>1103</v>
      </c>
      <c r="S448" t="s">
        <v>56</v>
      </c>
      <c r="T448" t="str">
        <f>TRIM(S448)</f>
        <v>COD</v>
      </c>
      <c r="U448">
        <v>129</v>
      </c>
      <c r="V448" t="s">
        <v>20</v>
      </c>
      <c r="W448">
        <v>2</v>
      </c>
    </row>
    <row r="449" spans="1:23" hidden="1" x14ac:dyDescent="0.3">
      <c r="A449" t="s">
        <v>692</v>
      </c>
      <c r="B449" s="2">
        <v>46104</v>
      </c>
      <c r="C449" s="2" t="str">
        <v>Mar</v>
      </c>
      <c r="D449" t="s">
        <v>79</v>
      </c>
      <c r="E449" t="s">
        <v>80</v>
      </c>
      <c r="F449" t="str">
        <f>TRIM(E449)</f>
        <v>Varun</v>
      </c>
      <c r="G449" t="s">
        <v>16</v>
      </c>
      <c r="I449" t="str">
        <f t="shared" si="6"/>
        <v>Lucknow</v>
      </c>
      <c r="J449" t="s">
        <v>190</v>
      </c>
      <c r="K449">
        <f ca="1"/>
        <v>54</v>
      </c>
      <c r="N449" t="s">
        <v>55</v>
      </c>
      <c r="O449">
        <v>1</v>
      </c>
      <c r="P449">
        <v>3100</v>
      </c>
      <c r="Q449">
        <v>10</v>
      </c>
      <c r="R449">
        <f>O449*P449</f>
        <v>3100</v>
      </c>
      <c r="S449" t="s">
        <v>19</v>
      </c>
      <c r="T449" t="str">
        <f>TRIM(S449)</f>
        <v>UPI</v>
      </c>
      <c r="U449">
        <v>200</v>
      </c>
      <c r="V449" t="s">
        <v>20</v>
      </c>
      <c r="W449">
        <v>4</v>
      </c>
    </row>
    <row r="450" spans="1:23" hidden="1" x14ac:dyDescent="0.3">
      <c r="A450" t="s">
        <v>693</v>
      </c>
      <c r="B450" s="2">
        <v>46099</v>
      </c>
      <c r="C450" s="2" t="str">
        <v>Mar</v>
      </c>
      <c r="D450" t="s">
        <v>235</v>
      </c>
      <c r="E450" t="s">
        <v>109</v>
      </c>
      <c r="F450" t="str">
        <f>TRIM(E450)</f>
        <v>Neha</v>
      </c>
      <c r="G450" t="s">
        <v>117</v>
      </c>
      <c r="I450" t="str">
        <f t="shared" si="6"/>
        <v>Ghaziabad</v>
      </c>
      <c r="J450" t="s">
        <v>141</v>
      </c>
      <c r="K450">
        <f ca="1"/>
        <v>34</v>
      </c>
      <c r="N450" t="s">
        <v>50</v>
      </c>
      <c r="O450">
        <v>2</v>
      </c>
      <c r="P450">
        <v>1395</v>
      </c>
      <c r="Q450">
        <v>25</v>
      </c>
      <c r="R450">
        <f>O450*P450</f>
        <v>2790</v>
      </c>
      <c r="S450" t="s">
        <v>19</v>
      </c>
      <c r="T450" t="str">
        <f>TRIM(S450)</f>
        <v>UPI</v>
      </c>
      <c r="U450">
        <v>200</v>
      </c>
      <c r="V450" t="s">
        <v>20</v>
      </c>
      <c r="W450">
        <v>6</v>
      </c>
    </row>
    <row r="451" spans="1:23" hidden="1" x14ac:dyDescent="0.3">
      <c r="A451" t="s">
        <v>694</v>
      </c>
      <c r="B451" s="2">
        <v>46048</v>
      </c>
      <c r="C451" s="2" t="str">
        <v>Jan</v>
      </c>
      <c r="D451" t="s">
        <v>422</v>
      </c>
      <c r="E451" t="s">
        <v>184</v>
      </c>
      <c r="F451" t="str">
        <f>TRIM(E451)</f>
        <v>Kavya</v>
      </c>
      <c r="G451" t="s">
        <v>65</v>
      </c>
      <c r="I451" t="str">
        <f t="shared" ref="I451:I501" si="7">TRIM(G451)</f>
        <v>Jaipur</v>
      </c>
      <c r="J451" t="s">
        <v>72</v>
      </c>
      <c r="K451">
        <f ca="1"/>
        <v>14</v>
      </c>
      <c r="N451" t="s">
        <v>45</v>
      </c>
      <c r="O451">
        <v>1</v>
      </c>
      <c r="P451">
        <v>400</v>
      </c>
      <c r="Q451">
        <v>10</v>
      </c>
      <c r="R451">
        <f>O451*P451</f>
        <v>400</v>
      </c>
      <c r="S451" t="s">
        <v>27</v>
      </c>
      <c r="T451" t="str">
        <f>TRIM(S451)</f>
        <v>Card</v>
      </c>
      <c r="U451">
        <v>135</v>
      </c>
      <c r="V451" t="s">
        <v>20</v>
      </c>
      <c r="W451">
        <v>3</v>
      </c>
    </row>
    <row r="452" spans="1:23" hidden="1" x14ac:dyDescent="0.3">
      <c r="A452" t="s">
        <v>695</v>
      </c>
      <c r="B452" s="2">
        <v>46171</v>
      </c>
      <c r="C452" s="2" t="str">
        <v>May</v>
      </c>
      <c r="D452" t="s">
        <v>285</v>
      </c>
      <c r="E452" t="s">
        <v>15</v>
      </c>
      <c r="F452" t="str">
        <f>TRIM(E452)</f>
        <v>Aditya</v>
      </c>
      <c r="G452" t="s">
        <v>40</v>
      </c>
      <c r="I452" t="str">
        <f t="shared" si="7"/>
        <v>Gurugram</v>
      </c>
      <c r="J452" t="s">
        <v>135</v>
      </c>
      <c r="K452">
        <f ca="1"/>
        <v>28</v>
      </c>
      <c r="N452" t="s">
        <v>50</v>
      </c>
      <c r="O452">
        <v>1</v>
      </c>
      <c r="P452">
        <v>1103</v>
      </c>
      <c r="Q452">
        <v>15</v>
      </c>
      <c r="R452">
        <f>O452*P452</f>
        <v>1103</v>
      </c>
      <c r="S452" t="s">
        <v>19</v>
      </c>
      <c r="T452" t="str">
        <f>TRIM(S452)</f>
        <v>UPI</v>
      </c>
      <c r="U452">
        <v>200</v>
      </c>
      <c r="V452" t="s">
        <v>20</v>
      </c>
      <c r="W452">
        <v>1</v>
      </c>
    </row>
    <row r="453" spans="1:23" hidden="1" x14ac:dyDescent="0.3">
      <c r="A453" t="s">
        <v>696</v>
      </c>
      <c r="B453" s="2">
        <v>46198</v>
      </c>
      <c r="C453" s="2" t="str">
        <v>Jun</v>
      </c>
      <c r="D453" t="s">
        <v>160</v>
      </c>
      <c r="E453" t="s">
        <v>161</v>
      </c>
      <c r="F453" t="str">
        <f>TRIM(E453)</f>
        <v>Ananya</v>
      </c>
      <c r="G453" t="s">
        <v>117</v>
      </c>
      <c r="I453" t="str">
        <f t="shared" si="7"/>
        <v>Ghaziabad</v>
      </c>
      <c r="J453" t="s">
        <v>127</v>
      </c>
      <c r="K453">
        <f ca="1"/>
        <v>41</v>
      </c>
      <c r="N453" t="s">
        <v>55</v>
      </c>
      <c r="O453">
        <v>1</v>
      </c>
      <c r="P453">
        <v>2500</v>
      </c>
      <c r="Q453">
        <v>15</v>
      </c>
      <c r="R453">
        <f>O453*P453</f>
        <v>2500</v>
      </c>
      <c r="S453" t="s">
        <v>56</v>
      </c>
      <c r="T453" t="str">
        <f>TRIM(S453)</f>
        <v>COD</v>
      </c>
      <c r="U453">
        <v>129</v>
      </c>
      <c r="V453" t="s">
        <v>20</v>
      </c>
      <c r="W453">
        <v>3</v>
      </c>
    </row>
    <row r="454" spans="1:23" hidden="1" x14ac:dyDescent="0.3">
      <c r="A454" t="s">
        <v>697</v>
      </c>
      <c r="B454" s="2">
        <v>46139</v>
      </c>
      <c r="C454" s="2" t="str">
        <v>Apr</v>
      </c>
      <c r="D454" t="s">
        <v>212</v>
      </c>
      <c r="E454" t="s">
        <v>94</v>
      </c>
      <c r="F454" t="str">
        <f>TRIM(E454)</f>
        <v>Karan</v>
      </c>
      <c r="G454" t="s">
        <v>36</v>
      </c>
      <c r="I454" t="str">
        <f t="shared" si="7"/>
        <v>Delhi</v>
      </c>
      <c r="J454" t="s">
        <v>82</v>
      </c>
      <c r="K454">
        <f ca="1"/>
        <v>33</v>
      </c>
      <c r="N454" t="s">
        <v>50</v>
      </c>
      <c r="O454">
        <v>1</v>
      </c>
      <c r="P454">
        <v>2052</v>
      </c>
      <c r="Q454">
        <v>5</v>
      </c>
      <c r="R454">
        <f>O454*P454</f>
        <v>2052</v>
      </c>
      <c r="S454" t="s">
        <v>56</v>
      </c>
      <c r="T454" t="str">
        <f>TRIM(S454)</f>
        <v>COD</v>
      </c>
      <c r="U454">
        <v>129</v>
      </c>
      <c r="V454" t="s">
        <v>20</v>
      </c>
      <c r="W454">
        <v>3</v>
      </c>
    </row>
    <row r="455" spans="1:23" x14ac:dyDescent="0.3">
      <c r="A455" t="s">
        <v>698</v>
      </c>
      <c r="B455" s="2">
        <v>46195</v>
      </c>
      <c r="C455" s="2" t="str">
        <v>Jun</v>
      </c>
      <c r="D455" t="s">
        <v>475</v>
      </c>
      <c r="E455" t="s">
        <v>53</v>
      </c>
      <c r="F455" t="str">
        <f>TRIM(E455)</f>
        <v>Isha</v>
      </c>
      <c r="G455" t="s">
        <v>31</v>
      </c>
      <c r="I455" t="str">
        <f t="shared" si="7"/>
        <v>Noida</v>
      </c>
      <c r="J455" t="s">
        <v>213</v>
      </c>
      <c r="K455">
        <f ca="1"/>
        <v>14</v>
      </c>
      <c r="N455" t="s">
        <v>18</v>
      </c>
      <c r="O455">
        <v>1</v>
      </c>
      <c r="P455">
        <v>40646</v>
      </c>
      <c r="Q455">
        <v>0</v>
      </c>
      <c r="R455">
        <f>O455*P455</f>
        <v>40646</v>
      </c>
      <c r="S455" t="s">
        <v>19</v>
      </c>
      <c r="T455" t="str">
        <f>TRIM(S455)</f>
        <v>UPI</v>
      </c>
      <c r="U455">
        <v>200</v>
      </c>
      <c r="V455" t="s">
        <v>20</v>
      </c>
      <c r="W455">
        <v>2</v>
      </c>
    </row>
    <row r="456" spans="1:23" hidden="1" x14ac:dyDescent="0.3">
      <c r="A456" t="s">
        <v>699</v>
      </c>
      <c r="B456" s="2">
        <v>46023</v>
      </c>
      <c r="C456" s="2" t="str">
        <v>Jan</v>
      </c>
      <c r="D456" t="s">
        <v>108</v>
      </c>
      <c r="E456" t="s">
        <v>109</v>
      </c>
      <c r="F456" t="str">
        <f>TRIM(E456)</f>
        <v>Neha</v>
      </c>
      <c r="G456" t="s">
        <v>36</v>
      </c>
      <c r="I456" t="str">
        <f t="shared" si="7"/>
        <v>Delhi</v>
      </c>
      <c r="J456" t="s">
        <v>32</v>
      </c>
      <c r="K456">
        <f ca="1"/>
        <v>36</v>
      </c>
      <c r="N456" t="s">
        <v>18</v>
      </c>
      <c r="O456">
        <v>1</v>
      </c>
      <c r="P456">
        <v>53197</v>
      </c>
      <c r="Q456">
        <v>20</v>
      </c>
      <c r="R456">
        <f>O456*P456</f>
        <v>53197</v>
      </c>
      <c r="S456" t="s">
        <v>27</v>
      </c>
      <c r="T456" t="str">
        <f>TRIM(S456)</f>
        <v>Card</v>
      </c>
      <c r="U456">
        <v>135</v>
      </c>
      <c r="V456" t="s">
        <v>20</v>
      </c>
      <c r="W456">
        <v>3</v>
      </c>
    </row>
    <row r="457" spans="1:23" x14ac:dyDescent="0.3">
      <c r="A457" t="s">
        <v>700</v>
      </c>
      <c r="B457" s="2">
        <v>46038</v>
      </c>
      <c r="C457" s="2" t="str">
        <v>Jan</v>
      </c>
      <c r="D457" t="s">
        <v>554</v>
      </c>
      <c r="E457" t="s">
        <v>161</v>
      </c>
      <c r="F457" t="str">
        <f>TRIM(E457)</f>
        <v>Ananya</v>
      </c>
      <c r="G457" t="s">
        <v>31</v>
      </c>
      <c r="I457" t="str">
        <f t="shared" si="7"/>
        <v>Noida</v>
      </c>
      <c r="J457" t="s">
        <v>124</v>
      </c>
      <c r="K457">
        <f ca="1"/>
        <v>44</v>
      </c>
      <c r="N457" t="s">
        <v>55</v>
      </c>
      <c r="O457">
        <v>1</v>
      </c>
      <c r="P457">
        <v>2300</v>
      </c>
      <c r="Q457">
        <v>0</v>
      </c>
      <c r="R457">
        <f>O457*P457</f>
        <v>2300</v>
      </c>
      <c r="S457" t="s">
        <v>56</v>
      </c>
      <c r="T457" t="str">
        <f>TRIM(S457)</f>
        <v>COD</v>
      </c>
      <c r="U457">
        <v>129</v>
      </c>
      <c r="V457" t="s">
        <v>20</v>
      </c>
      <c r="W457">
        <v>7</v>
      </c>
    </row>
    <row r="458" spans="1:23" hidden="1" x14ac:dyDescent="0.3">
      <c r="A458" t="s">
        <v>701</v>
      </c>
      <c r="B458" s="2">
        <v>46144</v>
      </c>
      <c r="C458" s="2" t="str">
        <v>May</v>
      </c>
      <c r="D458" t="s">
        <v>702</v>
      </c>
      <c r="E458" t="s">
        <v>101</v>
      </c>
      <c r="F458" t="str">
        <f>TRIM(E458)</f>
        <v>Arjun</v>
      </c>
      <c r="G458" t="s">
        <v>36</v>
      </c>
      <c r="I458" t="str">
        <f t="shared" si="7"/>
        <v>Delhi</v>
      </c>
      <c r="J458" t="s">
        <v>383</v>
      </c>
      <c r="K458">
        <f ca="1"/>
        <v>18</v>
      </c>
      <c r="N458" t="s">
        <v>26</v>
      </c>
      <c r="O458">
        <v>2</v>
      </c>
      <c r="P458">
        <v>556</v>
      </c>
      <c r="Q458">
        <v>15</v>
      </c>
      <c r="R458">
        <f>O458*P458</f>
        <v>1112</v>
      </c>
      <c r="S458" t="s">
        <v>56</v>
      </c>
      <c r="T458" t="str">
        <f>TRIM(S458)</f>
        <v>COD</v>
      </c>
      <c r="U458">
        <v>129</v>
      </c>
      <c r="V458" t="s">
        <v>20</v>
      </c>
      <c r="W458">
        <v>1</v>
      </c>
    </row>
    <row r="459" spans="1:23" hidden="1" x14ac:dyDescent="0.3">
      <c r="A459" t="s">
        <v>703</v>
      </c>
      <c r="B459" s="2">
        <v>46147</v>
      </c>
      <c r="C459" s="2" t="str">
        <v>May</v>
      </c>
      <c r="D459" t="s">
        <v>355</v>
      </c>
      <c r="E459" t="s">
        <v>43</v>
      </c>
      <c r="F459" t="str">
        <f>TRIM(E459)</f>
        <v>Aarav</v>
      </c>
      <c r="G459" t="s">
        <v>16</v>
      </c>
      <c r="I459" t="str">
        <f t="shared" si="7"/>
        <v>Lucknow</v>
      </c>
      <c r="J459" t="s">
        <v>156</v>
      </c>
      <c r="K459">
        <f ca="1"/>
        <v>35</v>
      </c>
      <c r="N459" t="s">
        <v>18</v>
      </c>
      <c r="O459">
        <v>2</v>
      </c>
      <c r="P459">
        <v>22716</v>
      </c>
      <c r="Q459">
        <v>20</v>
      </c>
      <c r="R459">
        <f>O459*P459</f>
        <v>45432</v>
      </c>
      <c r="S459" t="s">
        <v>19</v>
      </c>
      <c r="T459" t="str">
        <f>TRIM(S459)</f>
        <v>UPI</v>
      </c>
      <c r="U459">
        <v>200</v>
      </c>
      <c r="V459" t="s">
        <v>20</v>
      </c>
      <c r="W459">
        <v>3</v>
      </c>
    </row>
    <row r="460" spans="1:23" hidden="1" x14ac:dyDescent="0.3">
      <c r="A460" t="s">
        <v>704</v>
      </c>
      <c r="B460" s="2">
        <v>46101</v>
      </c>
      <c r="C460" s="2" t="str">
        <v>Mar</v>
      </c>
      <c r="D460" t="s">
        <v>228</v>
      </c>
      <c r="E460" t="s">
        <v>15</v>
      </c>
      <c r="F460" t="str">
        <f>TRIM(E460)</f>
        <v>Aditya</v>
      </c>
      <c r="G460" t="s">
        <v>81</v>
      </c>
      <c r="I460" t="str">
        <f t="shared" si="7"/>
        <v>Faridabad</v>
      </c>
      <c r="J460" t="s">
        <v>135</v>
      </c>
      <c r="K460">
        <f ca="1"/>
        <v>28</v>
      </c>
      <c r="N460" t="s">
        <v>50</v>
      </c>
      <c r="O460">
        <v>4</v>
      </c>
      <c r="P460">
        <v>519</v>
      </c>
      <c r="Q460">
        <v>15</v>
      </c>
      <c r="R460">
        <f>O460*P460</f>
        <v>2076</v>
      </c>
      <c r="S460" t="s">
        <v>19</v>
      </c>
      <c r="T460" t="str">
        <f>TRIM(S460)</f>
        <v>UPI</v>
      </c>
      <c r="U460">
        <v>200</v>
      </c>
      <c r="V460" t="s">
        <v>20</v>
      </c>
      <c r="W460">
        <v>5</v>
      </c>
    </row>
    <row r="461" spans="1:23" hidden="1" x14ac:dyDescent="0.3">
      <c r="A461" t="s">
        <v>705</v>
      </c>
      <c r="B461" s="2">
        <v>46031</v>
      </c>
      <c r="C461" s="2" t="str">
        <v>Jan</v>
      </c>
      <c r="D461" t="s">
        <v>215</v>
      </c>
      <c r="E461" t="s">
        <v>43</v>
      </c>
      <c r="F461" t="str">
        <f>TRIM(E461)</f>
        <v>Aarav</v>
      </c>
      <c r="G461" t="s">
        <v>36</v>
      </c>
      <c r="I461" t="str">
        <f t="shared" si="7"/>
        <v>Delhi</v>
      </c>
      <c r="J461" t="s">
        <v>17</v>
      </c>
      <c r="K461">
        <f ca="1"/>
        <v>55</v>
      </c>
      <c r="N461" t="s">
        <v>18</v>
      </c>
      <c r="O461">
        <v>1</v>
      </c>
      <c r="P461">
        <v>51404</v>
      </c>
      <c r="Q461">
        <v>5</v>
      </c>
      <c r="R461">
        <f>O461*P461</f>
        <v>51404</v>
      </c>
      <c r="S461" t="s">
        <v>19</v>
      </c>
      <c r="T461" t="str">
        <f>TRIM(S461)</f>
        <v>UPI</v>
      </c>
      <c r="U461">
        <v>200</v>
      </c>
      <c r="V461" t="s">
        <v>20</v>
      </c>
      <c r="W461">
        <v>6</v>
      </c>
    </row>
    <row r="462" spans="1:23" hidden="1" x14ac:dyDescent="0.3">
      <c r="A462" t="s">
        <v>706</v>
      </c>
      <c r="B462" s="2">
        <v>46045</v>
      </c>
      <c r="C462" s="2" t="str">
        <v>Jan</v>
      </c>
      <c r="D462" t="s">
        <v>318</v>
      </c>
      <c r="E462" t="s">
        <v>30</v>
      </c>
      <c r="F462" t="str">
        <f>TRIM(E462)</f>
        <v>Simran</v>
      </c>
      <c r="G462" t="s">
        <v>117</v>
      </c>
      <c r="I462" t="str">
        <f t="shared" si="7"/>
        <v>Ghaziabad</v>
      </c>
      <c r="J462" t="s">
        <v>113</v>
      </c>
      <c r="K462">
        <f ca="1"/>
        <v>26</v>
      </c>
      <c r="N462" t="s">
        <v>26</v>
      </c>
      <c r="O462">
        <v>1</v>
      </c>
      <c r="P462">
        <v>1372</v>
      </c>
      <c r="Q462">
        <v>5</v>
      </c>
      <c r="R462">
        <f>O462*P462</f>
        <v>1372</v>
      </c>
      <c r="S462" t="s">
        <v>56</v>
      </c>
      <c r="T462" t="str">
        <f>TRIM(S462)</f>
        <v>COD</v>
      </c>
      <c r="U462">
        <v>129</v>
      </c>
      <c r="V462" t="s">
        <v>20</v>
      </c>
      <c r="W462">
        <v>3</v>
      </c>
    </row>
    <row r="463" spans="1:23" x14ac:dyDescent="0.3">
      <c r="A463" t="s">
        <v>707</v>
      </c>
      <c r="B463" s="2">
        <v>46200</v>
      </c>
      <c r="C463" s="2" t="str">
        <v>Jun</v>
      </c>
      <c r="D463" t="s">
        <v>67</v>
      </c>
      <c r="E463" t="s">
        <v>53</v>
      </c>
      <c r="F463" t="str">
        <f>TRIM(E463)</f>
        <v>Isha</v>
      </c>
      <c r="G463" t="s">
        <v>31</v>
      </c>
      <c r="I463" t="str">
        <f t="shared" si="7"/>
        <v>Noida</v>
      </c>
      <c r="J463" t="s">
        <v>17</v>
      </c>
      <c r="K463">
        <f ca="1"/>
        <v>55</v>
      </c>
      <c r="N463" t="s">
        <v>18</v>
      </c>
      <c r="O463">
        <v>3</v>
      </c>
      <c r="P463">
        <v>2993</v>
      </c>
      <c r="Q463">
        <v>5</v>
      </c>
      <c r="R463">
        <f>O463*P463</f>
        <v>8979</v>
      </c>
      <c r="S463" t="s">
        <v>27</v>
      </c>
      <c r="T463" t="str">
        <f>TRIM(S463)</f>
        <v>Card</v>
      </c>
      <c r="U463">
        <v>135</v>
      </c>
      <c r="V463" t="s">
        <v>20</v>
      </c>
      <c r="W463">
        <v>2</v>
      </c>
    </row>
    <row r="464" spans="1:23" x14ac:dyDescent="0.3">
      <c r="A464" t="s">
        <v>708</v>
      </c>
      <c r="B464" s="2">
        <v>46140</v>
      </c>
      <c r="C464" s="2" t="str">
        <v>Apr</v>
      </c>
      <c r="D464" t="s">
        <v>210</v>
      </c>
      <c r="E464" t="s">
        <v>101</v>
      </c>
      <c r="F464" t="str">
        <f>TRIM(E464)</f>
        <v>Arjun</v>
      </c>
      <c r="G464" t="s">
        <v>31</v>
      </c>
      <c r="I464" t="str">
        <f t="shared" si="7"/>
        <v>Noida</v>
      </c>
      <c r="J464" t="s">
        <v>62</v>
      </c>
      <c r="K464">
        <f ca="1"/>
        <v>33</v>
      </c>
      <c r="N464" t="s">
        <v>50</v>
      </c>
      <c r="O464">
        <v>1</v>
      </c>
      <c r="P464">
        <v>2271</v>
      </c>
      <c r="Q464">
        <v>0</v>
      </c>
      <c r="R464">
        <f>O464*P464</f>
        <v>2271</v>
      </c>
      <c r="S464" t="s">
        <v>56</v>
      </c>
      <c r="T464" t="str">
        <f>TRIM(S464)</f>
        <v>COD</v>
      </c>
      <c r="U464">
        <v>129</v>
      </c>
      <c r="V464" t="s">
        <v>46</v>
      </c>
      <c r="W464">
        <v>0</v>
      </c>
    </row>
    <row r="465" spans="1:23" hidden="1" x14ac:dyDescent="0.3">
      <c r="A465" t="s">
        <v>709</v>
      </c>
      <c r="B465" s="2">
        <v>46037</v>
      </c>
      <c r="C465" s="2" t="str">
        <v>Jan</v>
      </c>
      <c r="D465" t="s">
        <v>189</v>
      </c>
      <c r="E465" t="s">
        <v>30</v>
      </c>
      <c r="F465" t="str">
        <f>TRIM(E465)</f>
        <v>Simran</v>
      </c>
      <c r="G465" t="s">
        <v>81</v>
      </c>
      <c r="I465" t="str">
        <f t="shared" si="7"/>
        <v>Faridabad</v>
      </c>
      <c r="J465" t="s">
        <v>72</v>
      </c>
      <c r="K465">
        <f ca="1"/>
        <v>14</v>
      </c>
      <c r="N465" t="s">
        <v>45</v>
      </c>
      <c r="O465">
        <v>3</v>
      </c>
      <c r="P465">
        <v>1050</v>
      </c>
      <c r="Q465">
        <v>5</v>
      </c>
      <c r="R465">
        <f>O465*P465</f>
        <v>3150</v>
      </c>
      <c r="S465" t="s">
        <v>19</v>
      </c>
      <c r="T465" t="str">
        <f>TRIM(S465)</f>
        <v>UPI</v>
      </c>
      <c r="U465">
        <v>200</v>
      </c>
      <c r="V465" t="s">
        <v>20</v>
      </c>
      <c r="W465">
        <v>1</v>
      </c>
    </row>
    <row r="466" spans="1:23" x14ac:dyDescent="0.3">
      <c r="A466" t="s">
        <v>710</v>
      </c>
      <c r="B466" s="2">
        <v>46201</v>
      </c>
      <c r="C466" s="2" t="str">
        <v>Jun</v>
      </c>
      <c r="D466" t="s">
        <v>370</v>
      </c>
      <c r="E466" t="s">
        <v>231</v>
      </c>
      <c r="F466" t="str">
        <f>TRIM(E466)</f>
        <v>Vivek</v>
      </c>
      <c r="G466" t="s">
        <v>31</v>
      </c>
      <c r="I466" t="str">
        <f t="shared" si="7"/>
        <v>Noida</v>
      </c>
      <c r="J466" t="s">
        <v>190</v>
      </c>
      <c r="K466">
        <f ca="1"/>
        <v>54</v>
      </c>
      <c r="N466" t="s">
        <v>55</v>
      </c>
      <c r="O466">
        <v>2</v>
      </c>
      <c r="P466">
        <v>2300</v>
      </c>
      <c r="Q466">
        <v>5</v>
      </c>
      <c r="R466">
        <f>O466*P466</f>
        <v>4600</v>
      </c>
      <c r="S466" t="s">
        <v>56</v>
      </c>
      <c r="T466" t="str">
        <f>TRIM(S466)</f>
        <v>COD</v>
      </c>
      <c r="U466">
        <v>129</v>
      </c>
      <c r="V466" t="s">
        <v>20</v>
      </c>
      <c r="W466">
        <v>4</v>
      </c>
    </row>
    <row r="467" spans="1:23" hidden="1" x14ac:dyDescent="0.3">
      <c r="A467" t="s">
        <v>711</v>
      </c>
      <c r="B467" s="2">
        <v>46168</v>
      </c>
      <c r="C467" s="2" t="str">
        <v>May</v>
      </c>
      <c r="D467" t="s">
        <v>372</v>
      </c>
      <c r="E467" t="s">
        <v>101</v>
      </c>
      <c r="F467" t="str">
        <f>TRIM(E467)</f>
        <v>Arjun</v>
      </c>
      <c r="G467" t="s">
        <v>24</v>
      </c>
      <c r="I467" t="str">
        <f t="shared" si="7"/>
        <v>Chandigarh</v>
      </c>
      <c r="J467" t="s">
        <v>49</v>
      </c>
      <c r="K467">
        <f ca="1"/>
        <v>29</v>
      </c>
      <c r="N467" t="s">
        <v>50</v>
      </c>
      <c r="O467">
        <v>1</v>
      </c>
      <c r="P467">
        <v>1906</v>
      </c>
      <c r="Q467">
        <v>10</v>
      </c>
      <c r="R467">
        <f>O467*P467</f>
        <v>1906</v>
      </c>
      <c r="S467" t="s">
        <v>27</v>
      </c>
      <c r="T467" t="str">
        <f>TRIM(S467)</f>
        <v>Card</v>
      </c>
      <c r="U467">
        <v>135</v>
      </c>
      <c r="V467" t="s">
        <v>20</v>
      </c>
      <c r="W467">
        <v>4</v>
      </c>
    </row>
    <row r="468" spans="1:23" hidden="1" x14ac:dyDescent="0.3">
      <c r="A468" t="s">
        <v>712</v>
      </c>
      <c r="B468" s="2">
        <v>46153</v>
      </c>
      <c r="C468" s="2" t="str">
        <v>May</v>
      </c>
      <c r="D468" t="s">
        <v>205</v>
      </c>
      <c r="E468" t="s">
        <v>98</v>
      </c>
      <c r="F468" t="str">
        <f>TRIM(E468)</f>
        <v>Meera</v>
      </c>
      <c r="G468" t="s">
        <v>36</v>
      </c>
      <c r="I468" t="str">
        <f t="shared" si="7"/>
        <v>Delhi</v>
      </c>
      <c r="J468" t="s">
        <v>213</v>
      </c>
      <c r="K468">
        <f ca="1"/>
        <v>14</v>
      </c>
      <c r="N468" t="s">
        <v>18</v>
      </c>
      <c r="O468">
        <v>1</v>
      </c>
      <c r="P468">
        <v>46025</v>
      </c>
      <c r="Q468">
        <v>10</v>
      </c>
      <c r="R468">
        <f>O468*P468</f>
        <v>46025</v>
      </c>
      <c r="S468" t="s">
        <v>19</v>
      </c>
      <c r="T468" t="str">
        <f>TRIM(S468)</f>
        <v>UPI</v>
      </c>
      <c r="U468">
        <v>200</v>
      </c>
      <c r="V468" t="s">
        <v>46</v>
      </c>
      <c r="W468">
        <v>0</v>
      </c>
    </row>
    <row r="469" spans="1:23" x14ac:dyDescent="0.3">
      <c r="A469" t="s">
        <v>713</v>
      </c>
      <c r="B469" s="2">
        <v>46042</v>
      </c>
      <c r="C469" s="2" t="str">
        <v>Jan</v>
      </c>
      <c r="D469" t="s">
        <v>348</v>
      </c>
      <c r="E469" t="s">
        <v>35</v>
      </c>
      <c r="F469" t="str">
        <f>TRIM(E469)</f>
        <v>Rohan</v>
      </c>
      <c r="G469" t="s">
        <v>31</v>
      </c>
      <c r="I469" t="str">
        <f t="shared" si="7"/>
        <v>Noida</v>
      </c>
      <c r="J469" t="s">
        <v>68</v>
      </c>
      <c r="K469">
        <f ca="1"/>
        <v>23</v>
      </c>
      <c r="N469" t="s">
        <v>26</v>
      </c>
      <c r="O469">
        <v>2</v>
      </c>
      <c r="P469">
        <v>862</v>
      </c>
      <c r="Q469">
        <v>15</v>
      </c>
      <c r="R469">
        <f>O469*P469</f>
        <v>1724</v>
      </c>
      <c r="S469" t="s">
        <v>27</v>
      </c>
      <c r="T469" t="str">
        <f>TRIM(S469)</f>
        <v>Card</v>
      </c>
      <c r="U469">
        <v>135</v>
      </c>
      <c r="V469" t="s">
        <v>20</v>
      </c>
      <c r="W469">
        <v>2</v>
      </c>
    </row>
    <row r="470" spans="1:23" hidden="1" x14ac:dyDescent="0.3">
      <c r="A470" t="s">
        <v>714</v>
      </c>
      <c r="B470" s="2">
        <v>46029</v>
      </c>
      <c r="C470" s="2" t="str">
        <v>Jan</v>
      </c>
      <c r="D470" t="s">
        <v>202</v>
      </c>
      <c r="E470" t="s">
        <v>109</v>
      </c>
      <c r="F470" t="str">
        <f>TRIM(E470)</f>
        <v>Neha</v>
      </c>
      <c r="G470" t="s">
        <v>81</v>
      </c>
      <c r="I470" t="str">
        <f t="shared" si="7"/>
        <v>Faridabad</v>
      </c>
      <c r="J470" t="s">
        <v>190</v>
      </c>
      <c r="K470">
        <f ca="1"/>
        <v>54</v>
      </c>
      <c r="N470" t="s">
        <v>55</v>
      </c>
      <c r="O470">
        <v>1</v>
      </c>
      <c r="P470">
        <v>2700</v>
      </c>
      <c r="Q470">
        <v>15</v>
      </c>
      <c r="R470">
        <f>O470*P470</f>
        <v>2700</v>
      </c>
      <c r="S470" t="s">
        <v>27</v>
      </c>
      <c r="T470" t="str">
        <f>TRIM(S470)</f>
        <v>Card</v>
      </c>
      <c r="U470">
        <v>135</v>
      </c>
      <c r="V470" t="s">
        <v>20</v>
      </c>
      <c r="W470">
        <v>5</v>
      </c>
    </row>
    <row r="471" spans="1:23" hidden="1" x14ac:dyDescent="0.3">
      <c r="A471" t="s">
        <v>715</v>
      </c>
      <c r="B471" s="2">
        <v>46149</v>
      </c>
      <c r="C471" s="2" t="str">
        <v>May</v>
      </c>
      <c r="D471" t="s">
        <v>464</v>
      </c>
      <c r="E471" t="s">
        <v>149</v>
      </c>
      <c r="F471" t="str">
        <f>TRIM(E471)</f>
        <v>Rahul</v>
      </c>
      <c r="G471" t="s">
        <v>40</v>
      </c>
      <c r="I471" t="str">
        <f t="shared" si="7"/>
        <v>Gurugram</v>
      </c>
      <c r="J471" t="s">
        <v>383</v>
      </c>
      <c r="K471">
        <f ca="1"/>
        <v>18</v>
      </c>
      <c r="N471" t="s">
        <v>26</v>
      </c>
      <c r="O471">
        <v>3</v>
      </c>
      <c r="P471">
        <v>1219</v>
      </c>
      <c r="Q471">
        <v>5</v>
      </c>
      <c r="R471">
        <f>O471*P471</f>
        <v>3657</v>
      </c>
      <c r="S471" t="s">
        <v>27</v>
      </c>
      <c r="T471" t="str">
        <f>TRIM(S471)</f>
        <v>Card</v>
      </c>
      <c r="U471">
        <v>135</v>
      </c>
      <c r="V471" t="s">
        <v>20</v>
      </c>
      <c r="W471">
        <v>1</v>
      </c>
    </row>
    <row r="472" spans="1:23" x14ac:dyDescent="0.3">
      <c r="A472" t="s">
        <v>716</v>
      </c>
      <c r="B472" s="2">
        <v>46072</v>
      </c>
      <c r="C472" s="2" t="str">
        <v>Feb</v>
      </c>
      <c r="D472" t="s">
        <v>374</v>
      </c>
      <c r="E472" t="s">
        <v>109</v>
      </c>
      <c r="F472" t="str">
        <f>TRIM(E472)</f>
        <v>Neha</v>
      </c>
      <c r="G472" t="s">
        <v>31</v>
      </c>
      <c r="I472" t="str">
        <f t="shared" si="7"/>
        <v>Noida</v>
      </c>
      <c r="J472" t="s">
        <v>54</v>
      </c>
      <c r="K472">
        <f ca="1"/>
        <v>31</v>
      </c>
      <c r="N472" t="s">
        <v>55</v>
      </c>
      <c r="O472">
        <v>2</v>
      </c>
      <c r="P472">
        <v>1900</v>
      </c>
      <c r="Q472">
        <v>5</v>
      </c>
      <c r="R472">
        <f>O472*P472</f>
        <v>3800</v>
      </c>
      <c r="S472" t="s">
        <v>27</v>
      </c>
      <c r="T472" t="str">
        <f>TRIM(S472)</f>
        <v>Card</v>
      </c>
      <c r="U472">
        <v>135</v>
      </c>
      <c r="V472" t="s">
        <v>20</v>
      </c>
      <c r="W472">
        <v>4</v>
      </c>
    </row>
    <row r="473" spans="1:23" hidden="1" x14ac:dyDescent="0.3">
      <c r="A473" t="s">
        <v>717</v>
      </c>
      <c r="B473" s="2">
        <v>46120</v>
      </c>
      <c r="C473" s="2" t="str">
        <v>Apr</v>
      </c>
      <c r="D473" t="s">
        <v>299</v>
      </c>
      <c r="E473" t="s">
        <v>98</v>
      </c>
      <c r="F473" t="str">
        <f>TRIM(E473)</f>
        <v>Meera</v>
      </c>
      <c r="G473" t="s">
        <v>16</v>
      </c>
      <c r="I473" t="str">
        <f t="shared" si="7"/>
        <v>Lucknow</v>
      </c>
      <c r="J473" t="s">
        <v>190</v>
      </c>
      <c r="K473">
        <f ca="1"/>
        <v>54</v>
      </c>
      <c r="N473" t="s">
        <v>55</v>
      </c>
      <c r="O473">
        <v>1</v>
      </c>
      <c r="P473">
        <v>2100</v>
      </c>
      <c r="Q473">
        <v>0</v>
      </c>
      <c r="R473">
        <f>O473*P473</f>
        <v>2100</v>
      </c>
      <c r="S473" t="s">
        <v>19</v>
      </c>
      <c r="T473" t="str">
        <f>TRIM(S473)</f>
        <v>UPI</v>
      </c>
      <c r="U473">
        <v>200</v>
      </c>
      <c r="V473" t="s">
        <v>20</v>
      </c>
      <c r="W473">
        <v>4</v>
      </c>
    </row>
    <row r="474" spans="1:23" hidden="1" x14ac:dyDescent="0.3">
      <c r="A474" t="s">
        <v>718</v>
      </c>
      <c r="B474" s="2">
        <v>46175</v>
      </c>
      <c r="C474" s="2" t="str">
        <v>Jun</v>
      </c>
      <c r="D474" t="s">
        <v>239</v>
      </c>
      <c r="E474" t="s">
        <v>149</v>
      </c>
      <c r="F474" t="str">
        <f>TRIM(E474)</f>
        <v>Rahul</v>
      </c>
      <c r="G474" t="s">
        <v>36</v>
      </c>
      <c r="I474" t="str">
        <f t="shared" si="7"/>
        <v>Delhi</v>
      </c>
      <c r="J474" t="s">
        <v>44</v>
      </c>
      <c r="K474">
        <f ca="1"/>
        <v>29</v>
      </c>
      <c r="N474" t="s">
        <v>45</v>
      </c>
      <c r="O474">
        <v>1</v>
      </c>
      <c r="P474">
        <v>950</v>
      </c>
      <c r="Q474">
        <v>20</v>
      </c>
      <c r="R474">
        <f>O474*P474</f>
        <v>950</v>
      </c>
      <c r="S474" t="s">
        <v>27</v>
      </c>
      <c r="T474" t="str">
        <f>TRIM(S474)</f>
        <v>Card</v>
      </c>
      <c r="U474">
        <v>135</v>
      </c>
      <c r="V474" t="s">
        <v>20</v>
      </c>
      <c r="W474">
        <v>1</v>
      </c>
    </row>
    <row r="475" spans="1:23" hidden="1" x14ac:dyDescent="0.3">
      <c r="A475" t="s">
        <v>719</v>
      </c>
      <c r="B475" s="2">
        <v>46057</v>
      </c>
      <c r="C475" s="2" t="str">
        <v>Feb</v>
      </c>
      <c r="D475" t="s">
        <v>432</v>
      </c>
      <c r="E475" t="s">
        <v>23</v>
      </c>
      <c r="F475" t="str">
        <f>TRIM(E475)</f>
        <v>Pooja</v>
      </c>
      <c r="G475" t="s">
        <v>65</v>
      </c>
      <c r="I475" t="str">
        <f t="shared" si="7"/>
        <v>Jaipur</v>
      </c>
      <c r="J475" t="s">
        <v>72</v>
      </c>
      <c r="K475">
        <f ca="1"/>
        <v>14</v>
      </c>
      <c r="N475" t="s">
        <v>45</v>
      </c>
      <c r="O475">
        <v>1</v>
      </c>
      <c r="P475">
        <v>650</v>
      </c>
      <c r="Q475">
        <v>5</v>
      </c>
      <c r="R475">
        <f>O475*P475</f>
        <v>650</v>
      </c>
      <c r="S475" t="s">
        <v>56</v>
      </c>
      <c r="T475" t="str">
        <f>TRIM(S475)</f>
        <v>COD</v>
      </c>
      <c r="U475">
        <v>129</v>
      </c>
      <c r="V475" t="s">
        <v>20</v>
      </c>
      <c r="W475">
        <v>3</v>
      </c>
    </row>
    <row r="476" spans="1:23" hidden="1" x14ac:dyDescent="0.3">
      <c r="A476" t="s">
        <v>720</v>
      </c>
      <c r="B476" s="2">
        <v>46091</v>
      </c>
      <c r="C476" s="2" t="str">
        <v>Mar</v>
      </c>
      <c r="D476" t="s">
        <v>197</v>
      </c>
      <c r="E476" t="s">
        <v>43</v>
      </c>
      <c r="F476" t="str">
        <f>TRIM(E476)</f>
        <v>Aarav</v>
      </c>
      <c r="G476" t="s">
        <v>65</v>
      </c>
      <c r="I476" t="str">
        <f t="shared" si="7"/>
        <v>Jaipur</v>
      </c>
      <c r="J476" t="s">
        <v>127</v>
      </c>
      <c r="K476">
        <f ca="1"/>
        <v>41</v>
      </c>
      <c r="N476" t="s">
        <v>55</v>
      </c>
      <c r="O476">
        <v>1</v>
      </c>
      <c r="P476">
        <v>900</v>
      </c>
      <c r="Q476">
        <v>5</v>
      </c>
      <c r="R476">
        <f>O476*P476</f>
        <v>900</v>
      </c>
      <c r="S476" t="s">
        <v>19</v>
      </c>
      <c r="T476" t="str">
        <f>TRIM(S476)</f>
        <v>UPI</v>
      </c>
      <c r="U476">
        <v>200</v>
      </c>
      <c r="V476" t="s">
        <v>20</v>
      </c>
      <c r="W476">
        <v>2</v>
      </c>
    </row>
    <row r="477" spans="1:23" hidden="1" x14ac:dyDescent="0.3">
      <c r="A477" t="s">
        <v>721</v>
      </c>
      <c r="B477" s="2">
        <v>46108</v>
      </c>
      <c r="C477" s="2" t="str">
        <v>Mar</v>
      </c>
      <c r="D477" t="s">
        <v>406</v>
      </c>
      <c r="E477" t="s">
        <v>109</v>
      </c>
      <c r="F477" t="str">
        <f>TRIM(E477)</f>
        <v>Neha</v>
      </c>
      <c r="G477" t="s">
        <v>16</v>
      </c>
      <c r="I477" t="str">
        <f t="shared" si="7"/>
        <v>Lucknow</v>
      </c>
      <c r="J477" t="s">
        <v>113</v>
      </c>
      <c r="K477">
        <f ca="1"/>
        <v>26</v>
      </c>
      <c r="N477" t="s">
        <v>26</v>
      </c>
      <c r="O477">
        <v>2</v>
      </c>
      <c r="P477">
        <v>505</v>
      </c>
      <c r="Q477">
        <v>20</v>
      </c>
      <c r="R477">
        <f>O477*P477</f>
        <v>1010</v>
      </c>
      <c r="S477" t="s">
        <v>56</v>
      </c>
      <c r="T477" t="str">
        <f>TRIM(S477)</f>
        <v>COD</v>
      </c>
      <c r="U477">
        <v>129</v>
      </c>
      <c r="V477" t="s">
        <v>20</v>
      </c>
      <c r="W477">
        <v>1</v>
      </c>
    </row>
    <row r="478" spans="1:23" hidden="1" x14ac:dyDescent="0.3">
      <c r="A478" t="s">
        <v>722</v>
      </c>
      <c r="B478" s="2">
        <v>46104</v>
      </c>
      <c r="C478" s="2" t="str">
        <v>Mar</v>
      </c>
      <c r="D478" t="s">
        <v>723</v>
      </c>
      <c r="E478" t="s">
        <v>94</v>
      </c>
      <c r="F478" t="str">
        <f>TRIM(E478)</f>
        <v>Karan</v>
      </c>
      <c r="G478" t="s">
        <v>36</v>
      </c>
      <c r="I478" t="str">
        <f t="shared" si="7"/>
        <v>Delhi</v>
      </c>
      <c r="J478" t="s">
        <v>68</v>
      </c>
      <c r="K478">
        <f ca="1"/>
        <v>23</v>
      </c>
      <c r="N478" t="s">
        <v>26</v>
      </c>
      <c r="O478">
        <v>1</v>
      </c>
      <c r="P478">
        <v>1627</v>
      </c>
      <c r="Q478">
        <v>15</v>
      </c>
      <c r="R478">
        <f>O478*P478</f>
        <v>1627</v>
      </c>
      <c r="S478" t="s">
        <v>56</v>
      </c>
      <c r="T478" t="str">
        <f>TRIM(S478)</f>
        <v>COD</v>
      </c>
      <c r="U478">
        <v>129</v>
      </c>
      <c r="V478" t="s">
        <v>20</v>
      </c>
      <c r="W478">
        <v>4</v>
      </c>
    </row>
    <row r="479" spans="1:23" hidden="1" x14ac:dyDescent="0.3">
      <c r="A479" t="s">
        <v>724</v>
      </c>
      <c r="B479" s="2">
        <v>46109</v>
      </c>
      <c r="C479" s="2" t="str">
        <v>Mar</v>
      </c>
      <c r="D479" t="s">
        <v>254</v>
      </c>
      <c r="E479" t="s">
        <v>39</v>
      </c>
      <c r="F479" t="str">
        <f>TRIM(E479)</f>
        <v>Aman</v>
      </c>
      <c r="G479" t="s">
        <v>81</v>
      </c>
      <c r="I479" t="str">
        <f t="shared" si="7"/>
        <v>Faridabad</v>
      </c>
      <c r="J479" t="s">
        <v>127</v>
      </c>
      <c r="K479">
        <f ca="1"/>
        <v>41</v>
      </c>
      <c r="N479" t="s">
        <v>55</v>
      </c>
      <c r="O479">
        <v>1</v>
      </c>
      <c r="P479">
        <v>1700</v>
      </c>
      <c r="Q479">
        <v>10</v>
      </c>
      <c r="R479">
        <f>O479*P479</f>
        <v>1700</v>
      </c>
      <c r="S479" t="s">
        <v>56</v>
      </c>
      <c r="T479" t="str">
        <f>TRIM(S479)</f>
        <v>COD</v>
      </c>
      <c r="U479">
        <v>129</v>
      </c>
      <c r="V479" t="s">
        <v>20</v>
      </c>
      <c r="W479">
        <v>5</v>
      </c>
    </row>
    <row r="480" spans="1:23" hidden="1" x14ac:dyDescent="0.3">
      <c r="A480" t="s">
        <v>725</v>
      </c>
      <c r="B480" s="2">
        <v>46173</v>
      </c>
      <c r="C480" s="2" t="str">
        <v>May</v>
      </c>
      <c r="D480" t="s">
        <v>305</v>
      </c>
      <c r="E480" t="s">
        <v>15</v>
      </c>
      <c r="F480" t="str">
        <f>TRIM(E480)</f>
        <v>Aditya</v>
      </c>
      <c r="G480" t="s">
        <v>81</v>
      </c>
      <c r="I480" t="str">
        <f t="shared" si="7"/>
        <v>Faridabad</v>
      </c>
      <c r="J480" t="s">
        <v>90</v>
      </c>
      <c r="K480">
        <f ca="1"/>
        <v>41</v>
      </c>
      <c r="N480" t="s">
        <v>18</v>
      </c>
      <c r="O480">
        <v>1</v>
      </c>
      <c r="P480">
        <v>46025</v>
      </c>
      <c r="Q480">
        <v>15</v>
      </c>
      <c r="R480">
        <f>O480*P480</f>
        <v>46025</v>
      </c>
      <c r="S480" t="s">
        <v>19</v>
      </c>
      <c r="T480" t="str">
        <f>TRIM(S480)</f>
        <v>UPI</v>
      </c>
      <c r="U480">
        <v>200</v>
      </c>
      <c r="V480" t="s">
        <v>20</v>
      </c>
      <c r="W480">
        <v>4</v>
      </c>
    </row>
    <row r="481" spans="1:23" hidden="1" x14ac:dyDescent="0.3">
      <c r="A481" t="s">
        <v>726</v>
      </c>
      <c r="B481" s="2">
        <v>46090</v>
      </c>
      <c r="C481" s="2" t="str">
        <v>Mar</v>
      </c>
      <c r="D481" t="s">
        <v>205</v>
      </c>
      <c r="E481" t="s">
        <v>98</v>
      </c>
      <c r="F481" t="str">
        <f>TRIM(E481)</f>
        <v>Meera</v>
      </c>
      <c r="G481" t="s">
        <v>24</v>
      </c>
      <c r="I481" t="str">
        <f t="shared" si="7"/>
        <v>Chandigarh</v>
      </c>
      <c r="J481" t="s">
        <v>85</v>
      </c>
      <c r="K481">
        <f ca="1"/>
        <v>30</v>
      </c>
      <c r="N481" t="s">
        <v>45</v>
      </c>
      <c r="O481">
        <v>1</v>
      </c>
      <c r="P481">
        <v>1150</v>
      </c>
      <c r="Q481">
        <v>20</v>
      </c>
      <c r="R481">
        <f>O481*P481</f>
        <v>1150</v>
      </c>
      <c r="S481" t="s">
        <v>19</v>
      </c>
      <c r="T481" t="str">
        <f>TRIM(S481)</f>
        <v>UPI</v>
      </c>
      <c r="U481">
        <v>200</v>
      </c>
      <c r="V481" t="s">
        <v>46</v>
      </c>
      <c r="W481">
        <v>0</v>
      </c>
    </row>
    <row r="482" spans="1:23" hidden="1" x14ac:dyDescent="0.3">
      <c r="A482" t="s">
        <v>727</v>
      </c>
      <c r="B482" s="2">
        <v>46150</v>
      </c>
      <c r="C482" s="2" t="str">
        <v>May</v>
      </c>
      <c r="D482" t="s">
        <v>97</v>
      </c>
      <c r="E482" t="s">
        <v>98</v>
      </c>
      <c r="F482" t="str">
        <f>TRIM(E482)</f>
        <v>Meera</v>
      </c>
      <c r="G482" t="s">
        <v>65</v>
      </c>
      <c r="I482" t="str">
        <f t="shared" si="7"/>
        <v>Jaipur</v>
      </c>
      <c r="J482" t="s">
        <v>156</v>
      </c>
      <c r="K482">
        <f ca="1"/>
        <v>35</v>
      </c>
      <c r="N482" t="s">
        <v>18</v>
      </c>
      <c r="O482">
        <v>1</v>
      </c>
      <c r="P482">
        <v>38853</v>
      </c>
      <c r="Q482">
        <v>5</v>
      </c>
      <c r="R482">
        <f>O482*P482</f>
        <v>38853</v>
      </c>
      <c r="S482" t="s">
        <v>19</v>
      </c>
      <c r="T482" t="str">
        <f>TRIM(S482)</f>
        <v>UPI</v>
      </c>
      <c r="U482">
        <v>200</v>
      </c>
      <c r="V482" t="s">
        <v>20</v>
      </c>
      <c r="W482">
        <v>1</v>
      </c>
    </row>
    <row r="483" spans="1:23" x14ac:dyDescent="0.3">
      <c r="A483" t="s">
        <v>728</v>
      </c>
      <c r="B483" s="2">
        <v>46084</v>
      </c>
      <c r="C483" s="2" t="str">
        <v>Mar</v>
      </c>
      <c r="D483" t="s">
        <v>148</v>
      </c>
      <c r="E483" t="s">
        <v>149</v>
      </c>
      <c r="F483" t="str">
        <f>TRIM(E483)</f>
        <v>Rahul</v>
      </c>
      <c r="G483" t="s">
        <v>31</v>
      </c>
      <c r="I483" t="str">
        <f t="shared" si="7"/>
        <v>Noida</v>
      </c>
      <c r="J483" t="s">
        <v>122</v>
      </c>
      <c r="K483">
        <f ca="1"/>
        <v>10</v>
      </c>
      <c r="N483" t="s">
        <v>45</v>
      </c>
      <c r="O483">
        <v>1</v>
      </c>
      <c r="P483">
        <v>1050</v>
      </c>
      <c r="Q483">
        <v>0</v>
      </c>
      <c r="R483">
        <f>O483*P483</f>
        <v>1050</v>
      </c>
      <c r="S483" t="s">
        <v>91</v>
      </c>
      <c r="T483" t="str">
        <f>TRIM(S483)</f>
        <v>Net Banking</v>
      </c>
      <c r="U483">
        <v>36</v>
      </c>
      <c r="V483" t="s">
        <v>20</v>
      </c>
      <c r="W483">
        <v>2</v>
      </c>
    </row>
    <row r="484" spans="1:23" x14ac:dyDescent="0.3">
      <c r="A484" t="s">
        <v>729</v>
      </c>
      <c r="B484" s="2">
        <v>46039</v>
      </c>
      <c r="C484" s="2" t="str">
        <v>Jan</v>
      </c>
      <c r="D484" t="s">
        <v>260</v>
      </c>
      <c r="E484" t="s">
        <v>61</v>
      </c>
      <c r="F484" t="str">
        <f>TRIM(E484)</f>
        <v>Nikhil</v>
      </c>
      <c r="G484" t="s">
        <v>31</v>
      </c>
      <c r="I484" t="str">
        <f t="shared" si="7"/>
        <v>Noida</v>
      </c>
      <c r="J484" t="s">
        <v>62</v>
      </c>
      <c r="K484">
        <f ca="1"/>
        <v>33</v>
      </c>
      <c r="N484" t="s">
        <v>50</v>
      </c>
      <c r="O484">
        <v>1</v>
      </c>
      <c r="P484">
        <v>1979</v>
      </c>
      <c r="Q484">
        <v>5</v>
      </c>
      <c r="R484">
        <f>O484*P484</f>
        <v>1979</v>
      </c>
      <c r="S484" t="s">
        <v>19</v>
      </c>
      <c r="T484" t="str">
        <f>TRIM(S484)</f>
        <v>UPI</v>
      </c>
      <c r="U484">
        <v>200</v>
      </c>
      <c r="V484" t="s">
        <v>20</v>
      </c>
      <c r="W484">
        <v>6</v>
      </c>
    </row>
    <row r="485" spans="1:23" hidden="1" x14ac:dyDescent="0.3">
      <c r="A485" t="s">
        <v>730</v>
      </c>
      <c r="B485" s="2">
        <v>46145</v>
      </c>
      <c r="C485" s="2" t="str">
        <v>May</v>
      </c>
      <c r="D485" t="s">
        <v>52</v>
      </c>
      <c r="E485" t="s">
        <v>53</v>
      </c>
      <c r="F485" t="str">
        <f>TRIM(E485)</f>
        <v>Isha</v>
      </c>
      <c r="G485" t="s">
        <v>65</v>
      </c>
      <c r="I485" t="str">
        <f t="shared" si="7"/>
        <v>Jaipur</v>
      </c>
      <c r="J485" t="s">
        <v>32</v>
      </c>
      <c r="K485">
        <f ca="1"/>
        <v>36</v>
      </c>
      <c r="N485" t="s">
        <v>18</v>
      </c>
      <c r="O485">
        <v>2</v>
      </c>
      <c r="P485">
        <v>1200</v>
      </c>
      <c r="Q485">
        <v>10</v>
      </c>
      <c r="R485">
        <f>O485*P485</f>
        <v>2400</v>
      </c>
      <c r="S485" t="s">
        <v>19</v>
      </c>
      <c r="T485" t="str">
        <f>TRIM(S485)</f>
        <v>UPI</v>
      </c>
      <c r="U485">
        <v>200</v>
      </c>
      <c r="V485" t="s">
        <v>20</v>
      </c>
      <c r="W485">
        <v>3</v>
      </c>
    </row>
    <row r="486" spans="1:23" hidden="1" x14ac:dyDescent="0.3">
      <c r="A486" t="s">
        <v>731</v>
      </c>
      <c r="B486" s="2">
        <v>46194</v>
      </c>
      <c r="C486" s="2" t="str">
        <v>Jun</v>
      </c>
      <c r="D486" t="s">
        <v>224</v>
      </c>
      <c r="E486" t="s">
        <v>161</v>
      </c>
      <c r="F486" t="str">
        <f>TRIM(E486)</f>
        <v>Ananya</v>
      </c>
      <c r="G486" t="s">
        <v>117</v>
      </c>
      <c r="I486" t="str">
        <f t="shared" si="7"/>
        <v>Ghaziabad</v>
      </c>
      <c r="J486" t="s">
        <v>82</v>
      </c>
      <c r="K486">
        <f ca="1"/>
        <v>33</v>
      </c>
      <c r="N486" t="s">
        <v>50</v>
      </c>
      <c r="O486">
        <v>3</v>
      </c>
      <c r="P486">
        <v>1249</v>
      </c>
      <c r="Q486">
        <v>15</v>
      </c>
      <c r="R486">
        <f>O486*P486</f>
        <v>3747</v>
      </c>
      <c r="S486" t="s">
        <v>27</v>
      </c>
      <c r="T486" t="str">
        <f>TRIM(S486)</f>
        <v>Card</v>
      </c>
      <c r="U486">
        <v>135</v>
      </c>
      <c r="V486" t="s">
        <v>20</v>
      </c>
      <c r="W486">
        <v>2</v>
      </c>
    </row>
    <row r="487" spans="1:23" hidden="1" x14ac:dyDescent="0.3">
      <c r="A487" t="s">
        <v>732</v>
      </c>
      <c r="B487" s="2">
        <v>46162</v>
      </c>
      <c r="C487" s="2" t="str">
        <v>May</v>
      </c>
      <c r="D487" t="s">
        <v>733</v>
      </c>
      <c r="E487" t="s">
        <v>109</v>
      </c>
      <c r="F487" t="str">
        <f>TRIM(E487)</f>
        <v>Neha</v>
      </c>
      <c r="G487" t="s">
        <v>16</v>
      </c>
      <c r="I487" t="str">
        <f t="shared" si="7"/>
        <v>Lucknow</v>
      </c>
      <c r="J487" t="s">
        <v>88</v>
      </c>
      <c r="K487">
        <f ca="1"/>
        <v>17</v>
      </c>
      <c r="N487" t="s">
        <v>26</v>
      </c>
      <c r="O487">
        <v>1</v>
      </c>
      <c r="P487">
        <v>250</v>
      </c>
      <c r="Q487">
        <v>10</v>
      </c>
      <c r="R487">
        <f>O487*P487</f>
        <v>250</v>
      </c>
      <c r="S487" t="s">
        <v>19</v>
      </c>
      <c r="T487" t="str">
        <f>TRIM(S487)</f>
        <v>UPI</v>
      </c>
      <c r="U487">
        <v>200</v>
      </c>
      <c r="V487" t="s">
        <v>20</v>
      </c>
      <c r="W487">
        <v>3</v>
      </c>
    </row>
    <row r="488" spans="1:23" hidden="1" x14ac:dyDescent="0.3">
      <c r="A488" t="s">
        <v>734</v>
      </c>
      <c r="B488" s="2">
        <v>46119</v>
      </c>
      <c r="C488" s="2" t="str">
        <v>Apr</v>
      </c>
      <c r="D488" t="s">
        <v>422</v>
      </c>
      <c r="E488" t="s">
        <v>184</v>
      </c>
      <c r="F488" t="str">
        <f>TRIM(E488)</f>
        <v>Kavya</v>
      </c>
      <c r="G488" t="s">
        <v>36</v>
      </c>
      <c r="I488" t="str">
        <f t="shared" si="7"/>
        <v>Delhi</v>
      </c>
      <c r="J488" t="s">
        <v>190</v>
      </c>
      <c r="K488">
        <f ca="1"/>
        <v>54</v>
      </c>
      <c r="N488" t="s">
        <v>55</v>
      </c>
      <c r="O488">
        <v>1</v>
      </c>
      <c r="P488">
        <v>3100</v>
      </c>
      <c r="Q488">
        <v>0</v>
      </c>
      <c r="R488">
        <f>O488*P488</f>
        <v>3100</v>
      </c>
      <c r="S488" t="s">
        <v>19</v>
      </c>
      <c r="T488" t="str">
        <f>TRIM(S488)</f>
        <v>UPI</v>
      </c>
      <c r="U488">
        <v>200</v>
      </c>
      <c r="V488" t="s">
        <v>20</v>
      </c>
      <c r="W488">
        <v>4</v>
      </c>
    </row>
    <row r="489" spans="1:23" x14ac:dyDescent="0.3">
      <c r="A489" t="s">
        <v>735</v>
      </c>
      <c r="B489" s="2">
        <v>46060</v>
      </c>
      <c r="C489" s="2" t="str">
        <v>Feb</v>
      </c>
      <c r="D489" t="s">
        <v>145</v>
      </c>
      <c r="E489" t="s">
        <v>30</v>
      </c>
      <c r="F489" t="str">
        <f>TRIM(E489)</f>
        <v>Simran</v>
      </c>
      <c r="G489" t="s">
        <v>31</v>
      </c>
      <c r="I489" t="str">
        <f t="shared" si="7"/>
        <v>Noida</v>
      </c>
      <c r="J489" t="s">
        <v>25</v>
      </c>
      <c r="K489">
        <f ca="1"/>
        <v>20</v>
      </c>
      <c r="N489" t="s">
        <v>26</v>
      </c>
      <c r="O489">
        <v>1</v>
      </c>
      <c r="P489">
        <v>352</v>
      </c>
      <c r="Q489">
        <v>0</v>
      </c>
      <c r="R489">
        <f>O489*P489</f>
        <v>352</v>
      </c>
      <c r="S489" t="s">
        <v>19</v>
      </c>
      <c r="T489" t="str">
        <f>TRIM(S489)</f>
        <v>UPI</v>
      </c>
      <c r="U489">
        <v>200</v>
      </c>
      <c r="V489" t="s">
        <v>46</v>
      </c>
      <c r="W489">
        <v>0</v>
      </c>
    </row>
    <row r="490" spans="1:23" hidden="1" x14ac:dyDescent="0.3">
      <c r="A490" t="s">
        <v>736</v>
      </c>
      <c r="B490" s="2">
        <v>46093</v>
      </c>
      <c r="C490" s="2" t="str">
        <v>Mar</v>
      </c>
      <c r="D490" t="s">
        <v>487</v>
      </c>
      <c r="E490" t="s">
        <v>116</v>
      </c>
      <c r="F490" t="str">
        <f>TRIM(E490)</f>
        <v>Priya</v>
      </c>
      <c r="G490" t="s">
        <v>65</v>
      </c>
      <c r="I490" t="str">
        <f t="shared" si="7"/>
        <v>Jaipur</v>
      </c>
      <c r="J490" t="s">
        <v>82</v>
      </c>
      <c r="K490">
        <f ca="1"/>
        <v>33</v>
      </c>
      <c r="N490" t="s">
        <v>50</v>
      </c>
      <c r="O490">
        <v>1</v>
      </c>
      <c r="P490">
        <v>1030</v>
      </c>
      <c r="Q490">
        <v>5</v>
      </c>
      <c r="R490">
        <f>O490*P490</f>
        <v>1030</v>
      </c>
      <c r="S490" t="s">
        <v>19</v>
      </c>
      <c r="T490" t="str">
        <f>TRIM(S490)</f>
        <v>UPI</v>
      </c>
      <c r="U490">
        <v>200</v>
      </c>
      <c r="V490" t="s">
        <v>20</v>
      </c>
      <c r="W490">
        <v>4</v>
      </c>
    </row>
    <row r="491" spans="1:23" hidden="1" x14ac:dyDescent="0.3">
      <c r="A491" t="s">
        <v>737</v>
      </c>
      <c r="B491" s="2">
        <v>46032</v>
      </c>
      <c r="C491" s="2" t="str">
        <v>Jan</v>
      </c>
      <c r="D491" t="s">
        <v>181</v>
      </c>
      <c r="E491" t="s">
        <v>61</v>
      </c>
      <c r="F491" t="str">
        <f>TRIM(E491)</f>
        <v>Nikhil</v>
      </c>
      <c r="G491" t="s">
        <v>36</v>
      </c>
      <c r="I491" t="str">
        <f t="shared" si="7"/>
        <v>Delhi</v>
      </c>
      <c r="J491" t="s">
        <v>141</v>
      </c>
      <c r="K491">
        <f ca="1"/>
        <v>34</v>
      </c>
      <c r="N491" t="s">
        <v>50</v>
      </c>
      <c r="O491">
        <v>1</v>
      </c>
      <c r="P491">
        <v>1760</v>
      </c>
      <c r="Q491">
        <v>0</v>
      </c>
      <c r="R491">
        <f>O491*P491</f>
        <v>1760</v>
      </c>
      <c r="S491" t="s">
        <v>19</v>
      </c>
      <c r="T491" t="str">
        <f>TRIM(S491)</f>
        <v>UPI</v>
      </c>
      <c r="U491">
        <v>200</v>
      </c>
      <c r="V491" t="s">
        <v>20</v>
      </c>
      <c r="W491">
        <v>5</v>
      </c>
    </row>
    <row r="492" spans="1:23" hidden="1" x14ac:dyDescent="0.3">
      <c r="A492" t="s">
        <v>738</v>
      </c>
      <c r="B492" s="2">
        <v>46063</v>
      </c>
      <c r="C492" s="2" t="str">
        <v>Feb</v>
      </c>
      <c r="D492" t="s">
        <v>316</v>
      </c>
      <c r="E492" t="s">
        <v>94</v>
      </c>
      <c r="F492" t="str">
        <f>TRIM(E492)</f>
        <v>Karan</v>
      </c>
      <c r="G492" t="s">
        <v>40</v>
      </c>
      <c r="I492" t="str">
        <f t="shared" si="7"/>
        <v>Gurugram</v>
      </c>
      <c r="J492" t="s">
        <v>88</v>
      </c>
      <c r="K492">
        <f ca="1"/>
        <v>17</v>
      </c>
      <c r="N492" t="s">
        <v>26</v>
      </c>
      <c r="O492">
        <v>1</v>
      </c>
      <c r="P492">
        <v>1066</v>
      </c>
      <c r="Q492">
        <v>10</v>
      </c>
      <c r="R492">
        <f>O492*P492</f>
        <v>1066</v>
      </c>
      <c r="S492" t="s">
        <v>27</v>
      </c>
      <c r="T492" t="str">
        <f>TRIM(S492)</f>
        <v>Card</v>
      </c>
      <c r="U492">
        <v>135</v>
      </c>
      <c r="V492" t="s">
        <v>20</v>
      </c>
      <c r="W492">
        <v>1</v>
      </c>
    </row>
    <row r="493" spans="1:23" x14ac:dyDescent="0.3">
      <c r="A493" t="s">
        <v>739</v>
      </c>
      <c r="B493" s="2">
        <v>46035</v>
      </c>
      <c r="C493" s="2" t="str">
        <v>Jan</v>
      </c>
      <c r="D493" t="s">
        <v>228</v>
      </c>
      <c r="E493" t="s">
        <v>15</v>
      </c>
      <c r="F493" t="str">
        <f>TRIM(E493)</f>
        <v>Aditya</v>
      </c>
      <c r="G493" t="s">
        <v>31</v>
      </c>
      <c r="I493" t="str">
        <f t="shared" si="7"/>
        <v>Noida</v>
      </c>
      <c r="J493" t="s">
        <v>82</v>
      </c>
      <c r="K493">
        <f ca="1"/>
        <v>33</v>
      </c>
      <c r="N493" t="s">
        <v>50</v>
      </c>
      <c r="O493">
        <v>2</v>
      </c>
      <c r="P493">
        <v>300</v>
      </c>
      <c r="Q493">
        <v>15</v>
      </c>
      <c r="R493">
        <f>O493*P493</f>
        <v>600</v>
      </c>
      <c r="S493" t="s">
        <v>19</v>
      </c>
      <c r="T493" t="str">
        <f>TRIM(S493)</f>
        <v>UPI</v>
      </c>
      <c r="U493">
        <v>200</v>
      </c>
      <c r="V493" t="s">
        <v>20</v>
      </c>
      <c r="W493">
        <v>4</v>
      </c>
    </row>
    <row r="494" spans="1:23" hidden="1" x14ac:dyDescent="0.3">
      <c r="A494" t="s">
        <v>740</v>
      </c>
      <c r="B494" s="2">
        <v>46142</v>
      </c>
      <c r="C494" s="2" t="str">
        <v>Apr</v>
      </c>
      <c r="D494" t="s">
        <v>111</v>
      </c>
      <c r="E494" t="s">
        <v>71</v>
      </c>
      <c r="F494" t="str">
        <f>TRIM(E494)</f>
        <v>Riya</v>
      </c>
      <c r="G494" t="s">
        <v>117</v>
      </c>
      <c r="I494" t="str">
        <f t="shared" si="7"/>
        <v>Ghaziabad</v>
      </c>
      <c r="J494" t="s">
        <v>156</v>
      </c>
      <c r="K494">
        <f ca="1"/>
        <v>35</v>
      </c>
      <c r="N494" t="s">
        <v>18</v>
      </c>
      <c r="O494">
        <v>1</v>
      </c>
      <c r="P494">
        <v>2993</v>
      </c>
      <c r="Q494">
        <v>5</v>
      </c>
      <c r="R494">
        <f>O494*P494</f>
        <v>2993</v>
      </c>
      <c r="S494" t="s">
        <v>56</v>
      </c>
      <c r="T494" t="str">
        <f>TRIM(S494)</f>
        <v>COD</v>
      </c>
      <c r="U494">
        <v>129</v>
      </c>
      <c r="V494" t="s">
        <v>20</v>
      </c>
      <c r="W494">
        <v>2</v>
      </c>
    </row>
    <row r="495" spans="1:23" hidden="1" x14ac:dyDescent="0.3">
      <c r="A495" t="s">
        <v>741</v>
      </c>
      <c r="B495" s="2">
        <v>46139</v>
      </c>
      <c r="C495" s="2" t="str">
        <v>Apr</v>
      </c>
      <c r="D495" t="s">
        <v>160</v>
      </c>
      <c r="E495" t="s">
        <v>161</v>
      </c>
      <c r="F495" t="str">
        <f>TRIM(E495)</f>
        <v>Ananya</v>
      </c>
      <c r="G495" t="s">
        <v>117</v>
      </c>
      <c r="I495" t="str">
        <f t="shared" si="7"/>
        <v>Ghaziabad</v>
      </c>
      <c r="J495" t="s">
        <v>82</v>
      </c>
      <c r="K495">
        <f ca="1"/>
        <v>33</v>
      </c>
      <c r="N495" t="s">
        <v>50</v>
      </c>
      <c r="O495">
        <v>1</v>
      </c>
      <c r="P495">
        <v>1030</v>
      </c>
      <c r="Q495">
        <v>5</v>
      </c>
      <c r="R495">
        <f>O495*P495</f>
        <v>1030</v>
      </c>
      <c r="S495" t="s">
        <v>19</v>
      </c>
      <c r="T495" t="str">
        <f>TRIM(S495)</f>
        <v>UPI</v>
      </c>
      <c r="U495">
        <v>200</v>
      </c>
      <c r="V495" t="s">
        <v>20</v>
      </c>
      <c r="W495">
        <v>4</v>
      </c>
    </row>
    <row r="496" spans="1:23" x14ac:dyDescent="0.3">
      <c r="A496" t="s">
        <v>742</v>
      </c>
      <c r="B496" s="2">
        <v>46067</v>
      </c>
      <c r="C496" s="2" t="str">
        <v>Feb</v>
      </c>
      <c r="D496" t="s">
        <v>441</v>
      </c>
      <c r="E496" t="s">
        <v>184</v>
      </c>
      <c r="F496" t="str">
        <f>TRIM(E496)</f>
        <v>Kavya</v>
      </c>
      <c r="G496" t="s">
        <v>31</v>
      </c>
      <c r="I496" t="str">
        <f t="shared" si="7"/>
        <v>Noida</v>
      </c>
      <c r="J496" t="s">
        <v>127</v>
      </c>
      <c r="K496">
        <f ca="1"/>
        <v>41</v>
      </c>
      <c r="N496" t="s">
        <v>55</v>
      </c>
      <c r="O496">
        <v>1</v>
      </c>
      <c r="P496">
        <v>3300</v>
      </c>
      <c r="Q496">
        <v>25</v>
      </c>
      <c r="R496">
        <f>O496*P496</f>
        <v>3300</v>
      </c>
      <c r="S496" t="s">
        <v>56</v>
      </c>
      <c r="T496" t="str">
        <f>TRIM(S496)</f>
        <v>COD</v>
      </c>
      <c r="U496">
        <v>129</v>
      </c>
      <c r="V496" t="s">
        <v>20</v>
      </c>
      <c r="W496">
        <v>5</v>
      </c>
    </row>
    <row r="497" spans="1:23" hidden="1" x14ac:dyDescent="0.3">
      <c r="A497" t="s">
        <v>743</v>
      </c>
      <c r="B497" s="2">
        <v>46130</v>
      </c>
      <c r="C497" s="2" t="str">
        <v>Apr</v>
      </c>
      <c r="D497" t="s">
        <v>248</v>
      </c>
      <c r="E497" t="s">
        <v>30</v>
      </c>
      <c r="F497" t="str">
        <f>TRIM(E497)</f>
        <v>Simran</v>
      </c>
      <c r="G497" t="s">
        <v>36</v>
      </c>
      <c r="I497" t="str">
        <f t="shared" si="7"/>
        <v>Delhi</v>
      </c>
      <c r="J497" t="s">
        <v>190</v>
      </c>
      <c r="K497">
        <f ca="1"/>
        <v>54</v>
      </c>
      <c r="N497" t="s">
        <v>55</v>
      </c>
      <c r="O497">
        <v>2</v>
      </c>
      <c r="P497">
        <v>900</v>
      </c>
      <c r="Q497">
        <v>0</v>
      </c>
      <c r="R497">
        <f>O497*P497</f>
        <v>1800</v>
      </c>
      <c r="S497" t="s">
        <v>27</v>
      </c>
      <c r="T497" t="str">
        <f>TRIM(S497)</f>
        <v>Card</v>
      </c>
      <c r="U497">
        <v>135</v>
      </c>
      <c r="V497" t="s">
        <v>20</v>
      </c>
      <c r="W497">
        <v>5</v>
      </c>
    </row>
    <row r="498" spans="1:23" hidden="1" x14ac:dyDescent="0.3">
      <c r="A498" t="s">
        <v>744</v>
      </c>
      <c r="B498" s="2">
        <v>46064</v>
      </c>
      <c r="C498" s="2" t="str">
        <v>Feb</v>
      </c>
      <c r="D498" t="s">
        <v>330</v>
      </c>
      <c r="E498" t="s">
        <v>231</v>
      </c>
      <c r="F498" t="str">
        <f>TRIM(E498)</f>
        <v>Vivek</v>
      </c>
      <c r="G498" t="s">
        <v>117</v>
      </c>
      <c r="I498" t="str">
        <f t="shared" si="7"/>
        <v>Ghaziabad</v>
      </c>
      <c r="J498" t="s">
        <v>190</v>
      </c>
      <c r="K498">
        <f ca="1"/>
        <v>54</v>
      </c>
      <c r="N498" t="s">
        <v>55</v>
      </c>
      <c r="O498">
        <v>1</v>
      </c>
      <c r="P498">
        <v>2100</v>
      </c>
      <c r="Q498">
        <v>15</v>
      </c>
      <c r="R498">
        <f>O498*P498</f>
        <v>2100</v>
      </c>
      <c r="S498" t="s">
        <v>56</v>
      </c>
      <c r="T498" t="str">
        <f>TRIM(S498)</f>
        <v>COD</v>
      </c>
      <c r="U498">
        <v>129</v>
      </c>
      <c r="V498" t="s">
        <v>20</v>
      </c>
      <c r="W498">
        <v>3</v>
      </c>
    </row>
    <row r="499" spans="1:23" hidden="1" x14ac:dyDescent="0.3">
      <c r="A499" t="s">
        <v>745</v>
      </c>
      <c r="B499" s="2">
        <v>46122</v>
      </c>
      <c r="C499" s="2" t="str">
        <v>Apr</v>
      </c>
      <c r="D499" t="s">
        <v>137</v>
      </c>
      <c r="E499" t="s">
        <v>71</v>
      </c>
      <c r="F499" t="str">
        <f>TRIM(E499)</f>
        <v>Riya</v>
      </c>
      <c r="G499" t="s">
        <v>24</v>
      </c>
      <c r="I499" t="str">
        <f t="shared" si="7"/>
        <v>Chandigarh</v>
      </c>
      <c r="J499" t="s">
        <v>141</v>
      </c>
      <c r="K499">
        <f ca="1"/>
        <v>34</v>
      </c>
      <c r="N499" t="s">
        <v>50</v>
      </c>
      <c r="O499">
        <v>1</v>
      </c>
      <c r="P499">
        <v>1395</v>
      </c>
      <c r="Q499">
        <v>15</v>
      </c>
      <c r="R499">
        <f>O499*P499</f>
        <v>1395</v>
      </c>
      <c r="S499" t="s">
        <v>27</v>
      </c>
      <c r="T499" t="str">
        <f>TRIM(S499)</f>
        <v>Card</v>
      </c>
      <c r="U499">
        <v>135</v>
      </c>
      <c r="V499" t="s">
        <v>20</v>
      </c>
      <c r="W499">
        <v>3</v>
      </c>
    </row>
    <row r="500" spans="1:23" hidden="1" x14ac:dyDescent="0.3">
      <c r="A500" t="s">
        <v>746</v>
      </c>
      <c r="B500" s="2">
        <v>46114</v>
      </c>
      <c r="C500" s="2" t="str">
        <v>Apr</v>
      </c>
      <c r="D500" t="s">
        <v>733</v>
      </c>
      <c r="E500" t="s">
        <v>109</v>
      </c>
      <c r="F500" t="str">
        <f>TRIM(E500)</f>
        <v>Neha</v>
      </c>
      <c r="G500" t="s">
        <v>117</v>
      </c>
      <c r="I500" t="str">
        <f t="shared" si="7"/>
        <v>Ghaziabad</v>
      </c>
      <c r="J500" t="s">
        <v>127</v>
      </c>
      <c r="K500">
        <f ca="1"/>
        <v>41</v>
      </c>
      <c r="N500" t="s">
        <v>55</v>
      </c>
      <c r="O500">
        <v>1</v>
      </c>
      <c r="P500">
        <v>1800</v>
      </c>
      <c r="Q500">
        <v>5</v>
      </c>
      <c r="R500">
        <f>O500*P500</f>
        <v>1800</v>
      </c>
      <c r="S500" t="s">
        <v>19</v>
      </c>
      <c r="T500" t="str">
        <f>TRIM(S500)</f>
        <v>UPI</v>
      </c>
      <c r="U500">
        <v>200</v>
      </c>
      <c r="V500" t="s">
        <v>20</v>
      </c>
      <c r="W500">
        <v>4</v>
      </c>
    </row>
    <row r="501" spans="1:23" hidden="1" x14ac:dyDescent="0.3">
      <c r="A501" t="s">
        <v>747</v>
      </c>
      <c r="B501" s="2">
        <v>46085</v>
      </c>
      <c r="C501" s="2" t="str">
        <v>Mar</v>
      </c>
      <c r="D501" t="s">
        <v>176</v>
      </c>
      <c r="E501" t="s">
        <v>39</v>
      </c>
      <c r="F501" t="str">
        <f>TRIM(E501)</f>
        <v>Aman</v>
      </c>
      <c r="G501" t="s">
        <v>36</v>
      </c>
      <c r="I501" t="str">
        <f t="shared" si="7"/>
        <v>Delhi</v>
      </c>
      <c r="J501" t="s">
        <v>82</v>
      </c>
      <c r="K501">
        <f ca="1"/>
        <v>33</v>
      </c>
      <c r="N501" t="s">
        <v>50</v>
      </c>
      <c r="O501">
        <v>1</v>
      </c>
      <c r="P501">
        <v>1030</v>
      </c>
      <c r="Q501">
        <v>15</v>
      </c>
      <c r="R501">
        <f>O501*P501</f>
        <v>1030</v>
      </c>
      <c r="S501" t="s">
        <v>19</v>
      </c>
      <c r="T501" t="str">
        <f>TRIM(S501)</f>
        <v>UPI</v>
      </c>
      <c r="U501">
        <v>200</v>
      </c>
      <c r="V501" t="s">
        <v>139</v>
      </c>
      <c r="W501">
        <v>6</v>
      </c>
    </row>
  </sheetData>
  <autoFilter ref="A1:W501" xr:uid="{D91E4D19-57F4-4802-BED3-258F2B12F5FA}">
    <filterColumn colId="8">
      <filters>
        <filter val="Noida"/>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1EE3-54A5-4320-B165-99704C635995}">
  <dimension ref="A1:AF32"/>
  <sheetViews>
    <sheetView workbookViewId="0">
      <selection activeCell="E15" sqref="E15"/>
    </sheetView>
  </sheetViews>
  <sheetFormatPr defaultRowHeight="14.4" x14ac:dyDescent="0.3"/>
  <cols>
    <col min="1" max="1" width="11.21875" bestFit="1" customWidth="1"/>
    <col min="3" max="3" width="16.21875" bestFit="1" customWidth="1"/>
    <col min="5" max="5" width="14.88671875" bestFit="1" customWidth="1"/>
    <col min="7" max="7" width="15" bestFit="1" customWidth="1"/>
    <col min="9" max="9" width="18.33203125" bestFit="1" customWidth="1"/>
    <col min="11" max="11" width="12.5546875" bestFit="1" customWidth="1"/>
    <col min="12" max="12" width="9.88671875" bestFit="1" customWidth="1"/>
    <col min="14" max="14" width="19.77734375" bestFit="1" customWidth="1"/>
    <col min="15" max="15" width="12.6640625" bestFit="1" customWidth="1"/>
    <col min="16" max="16" width="18.5546875" bestFit="1" customWidth="1"/>
    <col min="21" max="21" width="9.88671875" bestFit="1" customWidth="1"/>
    <col min="24" max="24" width="11.109375" bestFit="1" customWidth="1"/>
    <col min="30" max="30" width="10.33203125" bestFit="1" customWidth="1"/>
    <col min="34" max="34" width="15.6640625" bestFit="1" customWidth="1"/>
  </cols>
  <sheetData>
    <row r="1" spans="1:32" x14ac:dyDescent="0.3">
      <c r="A1" s="3" t="s">
        <v>751</v>
      </c>
      <c r="C1" t="s">
        <v>752</v>
      </c>
      <c r="E1" s="3" t="s">
        <v>753</v>
      </c>
      <c r="G1" s="3" t="s">
        <v>754</v>
      </c>
      <c r="I1" t="s">
        <v>755</v>
      </c>
      <c r="K1" s="3"/>
      <c r="L1" s="3" t="s">
        <v>757</v>
      </c>
      <c r="N1" s="3" t="s">
        <v>758</v>
      </c>
      <c r="P1" s="3" t="s">
        <v>759</v>
      </c>
    </row>
    <row r="2" spans="1:32" x14ac:dyDescent="0.3">
      <c r="A2">
        <f>COUNTA('Cleaned data'!A2:A501)</f>
        <v>500</v>
      </c>
      <c r="C2">
        <f>COUNTIF('Cleaned data'!V2:V501,"Cancelled")</f>
        <v>33</v>
      </c>
      <c r="E2">
        <f>COUNTIF('Cleaned data'!V2:V501,"Returned")</f>
        <v>21</v>
      </c>
      <c r="G2">
        <f>COUNTIF('Cleaned data'!V2:V501,"Delivered")</f>
        <v>446</v>
      </c>
      <c r="I2">
        <f>SUM('Cleaned data'!O2:O501)</f>
        <v>750</v>
      </c>
      <c r="L2">
        <f>SUM('Cleaned data'!R2:R501)</f>
        <v>6013944</v>
      </c>
      <c r="N2">
        <f>AVERAGE('Cleaned data'!W2:W501)</f>
        <v>3.242</v>
      </c>
      <c r="P2">
        <f>AVERAGE('Cleaned data'!R2:R501)</f>
        <v>12027.888000000001</v>
      </c>
    </row>
    <row r="5" spans="1:32" x14ac:dyDescent="0.3">
      <c r="C5" s="7" t="s">
        <v>760</v>
      </c>
    </row>
    <row r="6" spans="1:32" x14ac:dyDescent="0.3">
      <c r="A6" t="s">
        <v>761</v>
      </c>
      <c r="C6">
        <f>COUNTIF('Cleaned data'!N2:N501,"Fashion")</f>
        <v>131</v>
      </c>
      <c r="I6" s="3" t="s">
        <v>6</v>
      </c>
      <c r="J6" s="3" t="s">
        <v>766</v>
      </c>
      <c r="K6" s="3" t="s">
        <v>757</v>
      </c>
      <c r="R6" t="s">
        <v>4</v>
      </c>
      <c r="S6" t="s">
        <v>766</v>
      </c>
    </row>
    <row r="7" spans="1:32" x14ac:dyDescent="0.3">
      <c r="A7" t="s">
        <v>762</v>
      </c>
      <c r="C7">
        <f>COUNTIF('Cleaned data'!N2:N501,"Electronics")</f>
        <v>129</v>
      </c>
      <c r="I7" t="s">
        <v>18</v>
      </c>
      <c r="J7">
        <v>129</v>
      </c>
      <c r="K7">
        <v>5158708</v>
      </c>
      <c r="N7" s="7" t="s">
        <v>5</v>
      </c>
      <c r="O7" s="7" t="s">
        <v>767</v>
      </c>
      <c r="R7" t="s">
        <v>36</v>
      </c>
      <c r="S7">
        <v>73</v>
      </c>
    </row>
    <row r="8" spans="1:32" x14ac:dyDescent="0.3">
      <c r="A8" t="s">
        <v>763</v>
      </c>
      <c r="C8">
        <f>COUNTIF('Cleaned data'!N2:N501,"Home")</f>
        <v>103</v>
      </c>
      <c r="I8" t="s">
        <v>55</v>
      </c>
      <c r="J8">
        <v>131</v>
      </c>
      <c r="K8">
        <v>435300</v>
      </c>
      <c r="N8" t="s">
        <v>124</v>
      </c>
      <c r="O8">
        <v>44</v>
      </c>
      <c r="P8">
        <f>SUM(O8:O32)</f>
        <v>750</v>
      </c>
      <c r="R8" t="s">
        <v>31</v>
      </c>
      <c r="S8">
        <v>64</v>
      </c>
    </row>
    <row r="9" spans="1:32" ht="28.8" x14ac:dyDescent="0.3">
      <c r="A9" t="s">
        <v>764</v>
      </c>
      <c r="C9">
        <f>COUNTIF('Cleaned data'!N2:N501,"Beauty")</f>
        <v>72</v>
      </c>
      <c r="I9" t="s">
        <v>50</v>
      </c>
      <c r="J9">
        <v>103</v>
      </c>
      <c r="K9">
        <v>219234</v>
      </c>
      <c r="N9" t="s">
        <v>82</v>
      </c>
      <c r="O9">
        <v>33</v>
      </c>
      <c r="R9" t="s">
        <v>40</v>
      </c>
      <c r="S9">
        <v>69</v>
      </c>
      <c r="AC9" s="14" t="s">
        <v>6</v>
      </c>
      <c r="AD9" s="16" t="s">
        <v>772</v>
      </c>
      <c r="AE9" t="s">
        <v>773</v>
      </c>
    </row>
    <row r="10" spans="1:32" ht="28.8" x14ac:dyDescent="0.3">
      <c r="A10" t="s">
        <v>765</v>
      </c>
      <c r="C10">
        <f>COUNTIF('Cleaned data'!N2:N501,"Grocery")</f>
        <v>65</v>
      </c>
      <c r="F10">
        <f>SUMIF('Cleaned data'!O6:O505,"Fashion",'Cleaned data'!S6:S505)</f>
        <v>0</v>
      </c>
      <c r="I10" t="s">
        <v>26</v>
      </c>
      <c r="J10">
        <v>72</v>
      </c>
      <c r="K10">
        <v>102602</v>
      </c>
      <c r="N10" t="s">
        <v>113</v>
      </c>
      <c r="O10">
        <v>26</v>
      </c>
      <c r="R10" t="s">
        <v>117</v>
      </c>
      <c r="S10">
        <v>40</v>
      </c>
      <c r="X10" t="s">
        <v>11</v>
      </c>
      <c r="Y10" t="s">
        <v>766</v>
      </c>
      <c r="Z10" t="s">
        <v>771</v>
      </c>
      <c r="AC10" s="12" t="s">
        <v>18</v>
      </c>
      <c r="AD10" s="15">
        <v>6</v>
      </c>
      <c r="AE10">
        <f>AD10/AF10*100</f>
        <v>4.6511627906976747</v>
      </c>
      <c r="AF10">
        <v>129</v>
      </c>
    </row>
    <row r="11" spans="1:32" x14ac:dyDescent="0.3">
      <c r="I11" t="s">
        <v>45</v>
      </c>
      <c r="J11">
        <v>65</v>
      </c>
      <c r="K11">
        <v>98100</v>
      </c>
      <c r="N11" t="s">
        <v>90</v>
      </c>
      <c r="O11">
        <v>41</v>
      </c>
      <c r="R11" t="s">
        <v>81</v>
      </c>
      <c r="S11">
        <v>35</v>
      </c>
      <c r="X11" t="s">
        <v>20</v>
      </c>
      <c r="Y11">
        <v>446</v>
      </c>
      <c r="Z11">
        <f>Y11/Y14*100</f>
        <v>89.2</v>
      </c>
      <c r="AC11" s="12" t="s">
        <v>55</v>
      </c>
      <c r="AD11" s="15">
        <v>4</v>
      </c>
      <c r="AE11">
        <f t="shared" ref="AE11:AE15" si="0">AD11/AF11*100</f>
        <v>3.0534351145038165</v>
      </c>
      <c r="AF11">
        <v>131</v>
      </c>
    </row>
    <row r="12" spans="1:32" x14ac:dyDescent="0.3">
      <c r="N12" t="s">
        <v>72</v>
      </c>
      <c r="O12">
        <v>14</v>
      </c>
      <c r="R12" t="s">
        <v>16</v>
      </c>
      <c r="S12">
        <v>49</v>
      </c>
      <c r="X12" t="s">
        <v>46</v>
      </c>
      <c r="Y12">
        <v>33</v>
      </c>
      <c r="Z12">
        <f>Y12/Y14*100</f>
        <v>6.6000000000000005</v>
      </c>
      <c r="AC12" s="12" t="s">
        <v>50</v>
      </c>
      <c r="AD12" s="15">
        <v>10</v>
      </c>
      <c r="AE12">
        <f t="shared" si="0"/>
        <v>9.7087378640776691</v>
      </c>
      <c r="AF12">
        <v>103</v>
      </c>
    </row>
    <row r="13" spans="1:32" x14ac:dyDescent="0.3">
      <c r="N13" t="s">
        <v>135</v>
      </c>
      <c r="O13">
        <v>28</v>
      </c>
      <c r="R13" t="s">
        <v>65</v>
      </c>
      <c r="S13">
        <v>36</v>
      </c>
      <c r="X13" t="s">
        <v>139</v>
      </c>
      <c r="Y13">
        <v>21</v>
      </c>
      <c r="Z13">
        <f>Y13/Y14*100</f>
        <v>4.2</v>
      </c>
      <c r="AC13" s="12" t="s">
        <v>26</v>
      </c>
      <c r="AD13" s="15">
        <v>9</v>
      </c>
      <c r="AE13">
        <f t="shared" si="0"/>
        <v>12.5</v>
      </c>
      <c r="AF13">
        <v>72</v>
      </c>
    </row>
    <row r="14" spans="1:32" x14ac:dyDescent="0.3">
      <c r="N14" t="s">
        <v>68</v>
      </c>
      <c r="O14">
        <v>23</v>
      </c>
      <c r="R14" t="s">
        <v>24</v>
      </c>
      <c r="S14">
        <v>35</v>
      </c>
      <c r="X14" t="s">
        <v>770</v>
      </c>
      <c r="Y14">
        <v>500</v>
      </c>
      <c r="AC14" s="12" t="s">
        <v>45</v>
      </c>
      <c r="AD14" s="15">
        <v>4</v>
      </c>
      <c r="AE14">
        <f t="shared" si="0"/>
        <v>6.1538461538461542</v>
      </c>
      <c r="AF14">
        <v>65</v>
      </c>
    </row>
    <row r="15" spans="1:32" x14ac:dyDescent="0.3">
      <c r="C15" s="3"/>
      <c r="E15" s="3"/>
      <c r="I15">
        <f>SUMIF('Cleaned data'!R11:R510,"Home",'Cleaned data'!W11:W510)</f>
        <v>0</v>
      </c>
      <c r="N15" t="s">
        <v>85</v>
      </c>
      <c r="O15">
        <v>30</v>
      </c>
      <c r="R15" t="s">
        <v>770</v>
      </c>
      <c r="S15">
        <v>401</v>
      </c>
      <c r="AC15" s="17" t="s">
        <v>770</v>
      </c>
      <c r="AD15" s="16">
        <v>33</v>
      </c>
      <c r="AE15" t="e">
        <f t="shared" si="0"/>
        <v>#DIV/0!</v>
      </c>
    </row>
    <row r="16" spans="1:32" ht="28.8" x14ac:dyDescent="0.3">
      <c r="E16" s="14" t="s">
        <v>10</v>
      </c>
      <c r="F16" s="14" t="s">
        <v>766</v>
      </c>
      <c r="G16" s="12"/>
      <c r="H16" s="12"/>
      <c r="N16" t="s">
        <v>25</v>
      </c>
      <c r="O16">
        <v>20</v>
      </c>
    </row>
    <row r="17" spans="5:30" x14ac:dyDescent="0.3">
      <c r="E17" s="12" t="s">
        <v>19</v>
      </c>
      <c r="F17" s="12">
        <v>200</v>
      </c>
      <c r="G17" s="12">
        <f>SUM(F17:F20)</f>
        <v>500</v>
      </c>
      <c r="H17" s="12"/>
      <c r="N17" t="s">
        <v>44</v>
      </c>
      <c r="O17">
        <v>29</v>
      </c>
    </row>
    <row r="18" spans="5:30" ht="28.8" x14ac:dyDescent="0.3">
      <c r="E18" s="12" t="s">
        <v>27</v>
      </c>
      <c r="F18" s="12">
        <v>135</v>
      </c>
      <c r="G18" s="12"/>
      <c r="H18" s="12"/>
      <c r="N18" t="s">
        <v>54</v>
      </c>
      <c r="O18">
        <v>31</v>
      </c>
      <c r="AC18" s="14" t="s">
        <v>775</v>
      </c>
      <c r="AD18" s="16" t="s">
        <v>757</v>
      </c>
    </row>
    <row r="19" spans="5:30" ht="28.8" x14ac:dyDescent="0.3">
      <c r="E19" s="12" t="s">
        <v>56</v>
      </c>
      <c r="F19" s="12">
        <v>129</v>
      </c>
      <c r="G19" s="12"/>
      <c r="H19" s="12"/>
      <c r="I19" s="3"/>
      <c r="J19" s="3"/>
      <c r="K19" t="e">
        <f>AVERAGEIF(H19:H518,J19,V19:V518)</f>
        <v>#DIV/0!</v>
      </c>
      <c r="N19" t="s">
        <v>190</v>
      </c>
      <c r="O19">
        <v>54</v>
      </c>
      <c r="U19" s="3" t="s">
        <v>6</v>
      </c>
      <c r="V19" s="14" t="s">
        <v>772</v>
      </c>
      <c r="AC19" s="12" t="s">
        <v>776</v>
      </c>
      <c r="AD19" s="18">
        <v>715402</v>
      </c>
    </row>
    <row r="20" spans="5:30" x14ac:dyDescent="0.3">
      <c r="E20" s="12" t="s">
        <v>91</v>
      </c>
      <c r="F20" s="12">
        <v>36</v>
      </c>
      <c r="G20" s="12"/>
      <c r="H20" s="12"/>
      <c r="K20" t="e">
        <f>AVERAGEIF(H20:H519,J20,V20:V519)</f>
        <v>#DIV/0!</v>
      </c>
      <c r="N20" t="s">
        <v>32</v>
      </c>
      <c r="O20">
        <v>36</v>
      </c>
      <c r="U20" t="s">
        <v>18</v>
      </c>
      <c r="V20" s="12">
        <f>COUNTIFS('Cleaned data'!N2:N501,"")</f>
        <v>0</v>
      </c>
      <c r="AC20" s="12" t="s">
        <v>777</v>
      </c>
      <c r="AD20" s="18">
        <v>965237</v>
      </c>
    </row>
    <row r="21" spans="5:30" x14ac:dyDescent="0.3">
      <c r="G21" s="12"/>
      <c r="H21" s="12"/>
      <c r="K21" t="e">
        <f>AVERAGEIF(H21:H520,J21,V21:V520)</f>
        <v>#DIV/0!</v>
      </c>
      <c r="N21" t="s">
        <v>383</v>
      </c>
      <c r="O21">
        <v>18</v>
      </c>
      <c r="U21" t="s">
        <v>55</v>
      </c>
      <c r="V21" s="12"/>
      <c r="AC21" s="12" t="s">
        <v>778</v>
      </c>
      <c r="AD21" s="18">
        <v>1107093</v>
      </c>
    </row>
    <row r="22" spans="5:30" x14ac:dyDescent="0.3">
      <c r="G22" s="12"/>
      <c r="H22" s="12"/>
      <c r="K22" t="e">
        <f>AVERAGEIF(H22:H521,J22,V22:V521)</f>
        <v>#DIV/0!</v>
      </c>
      <c r="N22" t="s">
        <v>122</v>
      </c>
      <c r="O22">
        <v>10</v>
      </c>
      <c r="U22" t="s">
        <v>50</v>
      </c>
      <c r="V22" s="12"/>
      <c r="AC22" s="12" t="s">
        <v>779</v>
      </c>
      <c r="AD22" s="18">
        <v>910743</v>
      </c>
    </row>
    <row r="23" spans="5:30" x14ac:dyDescent="0.3">
      <c r="G23" s="12"/>
      <c r="H23" s="12"/>
      <c r="K23" t="e">
        <f>AVERAGEIF(H23:H522,J23,V23:V522)</f>
        <v>#DIV/0!</v>
      </c>
      <c r="N23" t="s">
        <v>17</v>
      </c>
      <c r="O23">
        <v>55</v>
      </c>
      <c r="U23" t="s">
        <v>26</v>
      </c>
      <c r="V23" s="12"/>
      <c r="AC23" s="12" t="s">
        <v>780</v>
      </c>
      <c r="AD23" s="18">
        <v>1276404</v>
      </c>
    </row>
    <row r="24" spans="5:30" x14ac:dyDescent="0.3">
      <c r="I24" t="e">
        <f>AVERAGEIF(F24:F523,H24,T24:T523)</f>
        <v>#DIV/0!</v>
      </c>
      <c r="N24" t="s">
        <v>95</v>
      </c>
      <c r="O24">
        <v>28</v>
      </c>
      <c r="U24" t="s">
        <v>45</v>
      </c>
      <c r="AC24" s="12" t="s">
        <v>781</v>
      </c>
      <c r="AD24" s="18">
        <v>1039065</v>
      </c>
    </row>
    <row r="25" spans="5:30" ht="18" x14ac:dyDescent="0.3">
      <c r="G25" s="13"/>
      <c r="I25" t="e">
        <f>AVERAGEIF(F25:F524,H25,T25:T524)</f>
        <v>#DIV/0!</v>
      </c>
      <c r="N25" t="s">
        <v>127</v>
      </c>
      <c r="O25">
        <v>41</v>
      </c>
    </row>
    <row r="26" spans="5:30" x14ac:dyDescent="0.3">
      <c r="I26" t="e">
        <f>AVERAGEIF(F26:F525,H26,T26:T525)</f>
        <v>#DIV/0!</v>
      </c>
      <c r="N26" t="s">
        <v>88</v>
      </c>
      <c r="O26">
        <v>17</v>
      </c>
    </row>
    <row r="27" spans="5:30" x14ac:dyDescent="0.3">
      <c r="I27" t="e">
        <f>AVERAGEIF(F27:F526,H27,T27:T526)</f>
        <v>#DIV/0!</v>
      </c>
      <c r="N27" t="s">
        <v>213</v>
      </c>
      <c r="O27">
        <v>14</v>
      </c>
    </row>
    <row r="28" spans="5:30" x14ac:dyDescent="0.3">
      <c r="I28" t="e">
        <f>AVERAGEIF(F28:F527,H28,T28:T527)</f>
        <v>#DIV/0!</v>
      </c>
      <c r="N28" t="s">
        <v>62</v>
      </c>
      <c r="O28">
        <v>33</v>
      </c>
    </row>
    <row r="29" spans="5:30" x14ac:dyDescent="0.3">
      <c r="N29" t="s">
        <v>49</v>
      </c>
      <c r="O29">
        <v>29</v>
      </c>
    </row>
    <row r="30" spans="5:30" x14ac:dyDescent="0.3">
      <c r="N30" t="s">
        <v>131</v>
      </c>
      <c r="O30">
        <v>27</v>
      </c>
    </row>
    <row r="31" spans="5:30" x14ac:dyDescent="0.3">
      <c r="N31" t="s">
        <v>141</v>
      </c>
      <c r="O31">
        <v>34</v>
      </c>
    </row>
    <row r="32" spans="5:30" x14ac:dyDescent="0.3">
      <c r="N32" t="s">
        <v>156</v>
      </c>
      <c r="O32">
        <v>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vt:lpstr>
      <vt:lpstr>Dashboard</vt:lpstr>
      <vt:lpstr>Cleaned data</vt:lpstr>
      <vt:lpstr>Analysis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Tiwari</cp:lastModifiedBy>
  <dcterms:created xsi:type="dcterms:W3CDTF">2026-09-20T14:05:22Z</dcterms:created>
  <dcterms:modified xsi:type="dcterms:W3CDTF">2026-09-28T16:17:07Z</dcterms:modified>
</cp:coreProperties>
</file>